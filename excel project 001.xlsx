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086692d6245feb76/Documents/excel project/"/>
    </mc:Choice>
  </mc:AlternateContent>
  <xr:revisionPtr revIDLastSave="4267" documentId="8_{419AC274-1E39-41B9-AA04-A7BB57618BD8}" xr6:coauthVersionLast="47" xr6:coauthVersionMax="47" xr10:uidLastSave="{8C1A2CDE-BC40-4139-BB4A-ABCC74306882}"/>
  <bookViews>
    <workbookView xWindow="-120" yWindow="-120" windowWidth="20730" windowHeight="11040" activeTab="1" xr2:uid="{00000000-000D-0000-FFFF-FFFF00000000}"/>
  </bookViews>
  <sheets>
    <sheet name="Sheet3" sheetId="9" r:id="rId1"/>
    <sheet name="Dashboard" sheetId="10" r:id="rId2"/>
    <sheet name="E-Commerce Data" sheetId="3" r:id="rId3"/>
  </sheets>
  <definedNames>
    <definedName name="_xlnm._FilterDatabase" localSheetId="2" hidden="1">'E-Commerce Data'!$A$1:$J$51</definedName>
    <definedName name="NativeTimeline_Date">#N/A</definedName>
    <definedName name="Slicer_Category">#N/A</definedName>
    <definedName name="Slicer_Channel">#N/A</definedName>
    <definedName name="Slicer_Dat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10" l="1"/>
  <c r="Q4" i="10" s="1"/>
  <c r="N4" i="10"/>
</calcChain>
</file>

<file path=xl/sharedStrings.xml><?xml version="1.0" encoding="utf-8"?>
<sst xmlns="http://schemas.openxmlformats.org/spreadsheetml/2006/main" count="391" uniqueCount="174">
  <si>
    <t>Order ID</t>
  </si>
  <si>
    <t>Date</t>
  </si>
  <si>
    <t>Customer</t>
  </si>
  <si>
    <t>Segment</t>
  </si>
  <si>
    <t>Product</t>
  </si>
  <si>
    <t>Category</t>
  </si>
  <si>
    <t>Region</t>
  </si>
  <si>
    <t>Channel</t>
  </si>
  <si>
    <t>Revenue (₹)</t>
  </si>
  <si>
    <t>COGS (₹)</t>
  </si>
  <si>
    <t>ORD-E001</t>
  </si>
  <si>
    <t>Ananya Sharma</t>
  </si>
  <si>
    <t>Premium</t>
  </si>
  <si>
    <t>Laptop</t>
  </si>
  <si>
    <t>Electronics</t>
  </si>
  <si>
    <t>North</t>
  </si>
  <si>
    <t>Web</t>
  </si>
  <si>
    <t>ORD-E002</t>
  </si>
  <si>
    <t>Vikram Joshi</t>
  </si>
  <si>
    <t>Regular</t>
  </si>
  <si>
    <t>Wireless Mouse</t>
  </si>
  <si>
    <t>South</t>
  </si>
  <si>
    <t>App</t>
  </si>
  <si>
    <t>ORD-E003</t>
  </si>
  <si>
    <t>Priya Nair</t>
  </si>
  <si>
    <t>Office Chair</t>
  </si>
  <si>
    <t>Furniture</t>
  </si>
  <si>
    <t>West</t>
  </si>
  <si>
    <t>Store</t>
  </si>
  <si>
    <t>ORD-E004</t>
  </si>
  <si>
    <t>Rohan Mehta</t>
  </si>
  <si>
    <t>New</t>
  </si>
  <si>
    <t>A4 Notebooks</t>
  </si>
  <si>
    <t>Stationery</t>
  </si>
  <si>
    <t>East</t>
  </si>
  <si>
    <t>ORD-E005</t>
  </si>
  <si>
    <t>Deepa Singh</t>
  </si>
  <si>
    <t>USB-C Hub</t>
  </si>
  <si>
    <t>ORD-E006</t>
  </si>
  <si>
    <t>Arjun Kumar</t>
  </si>
  <si>
    <t>Standing Desk</t>
  </si>
  <si>
    <t>ORD-E007</t>
  </si>
  <si>
    <t>Sneha Reddy</t>
  </si>
  <si>
    <t>LED Monitor</t>
  </si>
  <si>
    <t>ORD-E008</t>
  </si>
  <si>
    <t>Kiran Pillai</t>
  </si>
  <si>
    <t>Ballpoint Pens</t>
  </si>
  <si>
    <t>ORD-E009</t>
  </si>
  <si>
    <t>Meena Iyer</t>
  </si>
  <si>
    <t>Mechanical Keyboard</t>
  </si>
  <si>
    <t>ORD-E010</t>
  </si>
  <si>
    <t>Suresh Gupta</t>
  </si>
  <si>
    <t>Webcam HD</t>
  </si>
  <si>
    <t>ORD-E011</t>
  </si>
  <si>
    <t>Divya Bose</t>
  </si>
  <si>
    <t>Tablet 10"</t>
  </si>
  <si>
    <t>ORD-E012</t>
  </si>
  <si>
    <t>Ajay Menon</t>
  </si>
  <si>
    <t>Smart Speaker</t>
  </si>
  <si>
    <t>ORD-E013</t>
  </si>
  <si>
    <t>Lakshmi Rao</t>
  </si>
  <si>
    <t>Desk Lamp</t>
  </si>
  <si>
    <t>ORD-E014</t>
  </si>
  <si>
    <t>Ganesh Patel</t>
  </si>
  <si>
    <t>Filing Cabinet</t>
  </si>
  <si>
    <t>ORD-E015</t>
  </si>
  <si>
    <t>Sunita Shah</t>
  </si>
  <si>
    <t>Document Scanner</t>
  </si>
  <si>
    <t>ORD-E016</t>
  </si>
  <si>
    <t>Ravi Kapoor</t>
  </si>
  <si>
    <t>Headset</t>
  </si>
  <si>
    <t>ORD-E017</t>
  </si>
  <si>
    <t>Pooja Saxena</t>
  </si>
  <si>
    <t>Sticky Notes</t>
  </si>
  <si>
    <t>ORD-E018</t>
  </si>
  <si>
    <t>Manish Tiwari</t>
  </si>
  <si>
    <t>External HDD</t>
  </si>
  <si>
    <t>ORD-E019</t>
  </si>
  <si>
    <t>Kavya Sharma</t>
  </si>
  <si>
    <t>Bookshelf</t>
  </si>
  <si>
    <t>ORD-E020</t>
  </si>
  <si>
    <t>Tarun Nair</t>
  </si>
  <si>
    <t>Power Strip</t>
  </si>
  <si>
    <t>ORD-E021</t>
  </si>
  <si>
    <t>Monitor</t>
  </si>
  <si>
    <t>ORD-E022</t>
  </si>
  <si>
    <t>Preethi Kumar</t>
  </si>
  <si>
    <t>Printer Paper</t>
  </si>
  <si>
    <t>ORD-E023</t>
  </si>
  <si>
    <t>Vijay Singh</t>
  </si>
  <si>
    <t>Ergonomic Footrest</t>
  </si>
  <si>
    <t>ORD-E024</t>
  </si>
  <si>
    <t>Asha Pillai</t>
  </si>
  <si>
    <t>Projector HD</t>
  </si>
  <si>
    <t>ORD-E025</t>
  </si>
  <si>
    <t>Sunil Bose</t>
  </si>
  <si>
    <t>ORD-E026</t>
  </si>
  <si>
    <t>Nisha Joshi</t>
  </si>
  <si>
    <t>Stapler</t>
  </si>
  <si>
    <t>ORD-E027</t>
  </si>
  <si>
    <t>Kartik Reddy</t>
  </si>
  <si>
    <t>Visitor Chair</t>
  </si>
  <si>
    <t>ORD-E028</t>
  </si>
  <si>
    <t>Preethi Iyer</t>
  </si>
  <si>
    <t>Air Purifier</t>
  </si>
  <si>
    <t>ORD-E029</t>
  </si>
  <si>
    <t>Deepak Rao</t>
  </si>
  <si>
    <t>Label Printer</t>
  </si>
  <si>
    <t>ORD-E030</t>
  </si>
  <si>
    <t>Rekha Mehta</t>
  </si>
  <si>
    <t>Paper Clips</t>
  </si>
  <si>
    <t>ORD-E031</t>
  </si>
  <si>
    <t>Sanjay Gupta</t>
  </si>
  <si>
    <t>Conference Phone</t>
  </si>
  <si>
    <t>ORD-E032</t>
  </si>
  <si>
    <t>Divya Nambiar</t>
  </si>
  <si>
    <t>Mouse Pad XL</t>
  </si>
  <si>
    <t>ORD-E033</t>
  </si>
  <si>
    <t>Arjun Bhatt</t>
  </si>
  <si>
    <t>Highlighter Set</t>
  </si>
  <si>
    <t>ORD-E034</t>
  </si>
  <si>
    <t>Kavitha Shah</t>
  </si>
  <si>
    <t>UPS 600VA</t>
  </si>
  <si>
    <t>ORD-E035</t>
  </si>
  <si>
    <t>Rohan Iyer</t>
  </si>
  <si>
    <t>Laptop Stand</t>
  </si>
  <si>
    <t>ORD-E036</t>
  </si>
  <si>
    <t>Sunita Patel</t>
  </si>
  <si>
    <t>Meeting Table</t>
  </si>
  <si>
    <t>ORD-E037</t>
  </si>
  <si>
    <t>Vijay Kumar</t>
  </si>
  <si>
    <t>Network Switch</t>
  </si>
  <si>
    <t>ORD-E038</t>
  </si>
  <si>
    <t>Pooja Rao</t>
  </si>
  <si>
    <t>Binder A4</t>
  </si>
  <si>
    <t>ORD-E039</t>
  </si>
  <si>
    <t>Ganesh Mehta</t>
  </si>
  <si>
    <t>Anti-Glare Screen</t>
  </si>
  <si>
    <t>ORD-E040</t>
  </si>
  <si>
    <t>Priya Kapoor</t>
  </si>
  <si>
    <t>Office Safe</t>
  </si>
  <si>
    <t>ORD-E041</t>
  </si>
  <si>
    <t>Arun Singh</t>
  </si>
  <si>
    <t>ORD-E042</t>
  </si>
  <si>
    <t>Sneha Bose</t>
  </si>
  <si>
    <t>ORD-E043</t>
  </si>
  <si>
    <t>Kiran Tiwari</t>
  </si>
  <si>
    <t>ORD-E044</t>
  </si>
  <si>
    <t>Meena Saxena</t>
  </si>
  <si>
    <t>ORD-E045</t>
  </si>
  <si>
    <t>Ajay Nair</t>
  </si>
  <si>
    <t>ORD-E046</t>
  </si>
  <si>
    <t>Lakshmi Pillai</t>
  </si>
  <si>
    <t>ORD-E047</t>
  </si>
  <si>
    <t>Tarun Sharma</t>
  </si>
  <si>
    <t>ORD-E048</t>
  </si>
  <si>
    <t>Divya Joshi</t>
  </si>
  <si>
    <t>ORD-E049</t>
  </si>
  <si>
    <t>Ganesh Iyer</t>
  </si>
  <si>
    <t>ORD-E050</t>
  </si>
  <si>
    <t>Sunita Bose</t>
  </si>
  <si>
    <t>Row Labels</t>
  </si>
  <si>
    <t>Grand Total</t>
  </si>
  <si>
    <t>Sum of Revenue (₹)</t>
  </si>
  <si>
    <t>Jan</t>
  </si>
  <si>
    <t>Feb</t>
  </si>
  <si>
    <t>Mar</t>
  </si>
  <si>
    <t>Apr</t>
  </si>
  <si>
    <t>May</t>
  </si>
  <si>
    <t>TOTAL REVENUE</t>
  </si>
  <si>
    <t>TOTAL ORDER</t>
  </si>
  <si>
    <t>AVERAGE ORDER VALUE</t>
  </si>
  <si>
    <t>Count of Order ID</t>
  </si>
  <si>
    <t>E-COMMERCE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</si>
</sst>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0"/>
    <numFmt numFmtId="165" formatCode="&quot;₹&quot;\ #,##0.00"/>
  </numFmts>
  <fonts count="7" x14ac:knownFonts="1">
    <font>
      <sz val="11"/>
      <color theme="1"/>
      <name val="Calibri"/>
      <family val="2"/>
      <scheme val="minor"/>
    </font>
    <font>
      <sz val="10"/>
      <color rgb="FF000000"/>
      <name val="Arial"/>
    </font>
    <font>
      <b/>
      <sz val="10"/>
      <color rgb="FFFFFFFF"/>
      <name val="Arial"/>
    </font>
    <font>
      <b/>
      <sz val="12"/>
      <color theme="1"/>
      <name val="Calibri"/>
      <family val="2"/>
      <scheme val="minor"/>
    </font>
    <font>
      <b/>
      <sz val="24"/>
      <color theme="3"/>
      <name val="Calibri"/>
      <family val="2"/>
      <scheme val="minor"/>
    </font>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rgb="FF1F4E79"/>
      </patternFill>
    </fill>
    <fill>
      <patternFill patternType="solid">
        <fgColor rgb="FFF2F2F2"/>
      </patternFill>
    </fill>
    <fill>
      <patternFill patternType="solid">
        <fgColor rgb="FFFFFFFF"/>
      </patternFill>
    </fill>
    <fill>
      <patternFill patternType="solid">
        <fgColor theme="3" tint="0.39997558519241921"/>
        <bgColor indexed="64"/>
      </patternFill>
    </fill>
    <fill>
      <patternFill patternType="solid">
        <fgColor theme="0"/>
        <bgColor indexed="64"/>
      </patternFill>
    </fill>
    <fill>
      <patternFill patternType="solid">
        <fgColor theme="4"/>
        <bgColor indexed="64"/>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indexed="64"/>
      </left>
      <right style="thin">
        <color indexed="64"/>
      </right>
      <top style="thin">
        <color indexed="64"/>
      </top>
      <bottom style="thin">
        <color indexed="64"/>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diagonal/>
    </border>
  </borders>
  <cellStyleXfs count="2">
    <xf numFmtId="0" fontId="0" fillId="0" borderId="0"/>
    <xf numFmtId="44" fontId="5" fillId="0" borderId="0" applyFont="0" applyFill="0" applyBorder="0" applyAlignment="0" applyProtection="0"/>
  </cellStyleXfs>
  <cellXfs count="25">
    <xf numFmtId="0" fontId="0" fillId="0" borderId="0" xfId="0"/>
    <xf numFmtId="0" fontId="2" fillId="2"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164" fontId="1" fillId="4" borderId="1" xfId="0" applyNumberFormat="1" applyFont="1" applyFill="1" applyBorder="1" applyAlignment="1">
      <alignment horizontal="right" vertical="center" wrapText="1"/>
    </xf>
    <xf numFmtId="164" fontId="1" fillId="3" borderId="1" xfId="0" applyNumberFormat="1" applyFont="1" applyFill="1" applyBorder="1" applyAlignment="1">
      <alignment horizontal="right" vertical="center" wrapText="1"/>
    </xf>
    <xf numFmtId="14" fontId="1" fillId="4" borderId="1" xfId="0" applyNumberFormat="1" applyFont="1" applyFill="1" applyBorder="1" applyAlignment="1">
      <alignment horizontal="left" vertical="center" wrapText="1"/>
    </xf>
    <xf numFmtId="14" fontId="1" fillId="3" borderId="1" xfId="0" applyNumberFormat="1" applyFont="1" applyFill="1" applyBorder="1" applyAlignment="1">
      <alignment horizontal="left" vertical="center" wrapText="1"/>
    </xf>
    <xf numFmtId="14" fontId="2" fillId="2" borderId="1" xfId="0" applyNumberFormat="1" applyFont="1" applyFill="1" applyBorder="1" applyAlignment="1">
      <alignment horizontal="center" vertical="center" wrapText="1"/>
    </xf>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4" borderId="2" xfId="0" applyFont="1" applyFill="1" applyBorder="1" applyAlignment="1">
      <alignment horizontal="left" vertical="center" wrapText="1"/>
    </xf>
    <xf numFmtId="14" fontId="0" fillId="0" borderId="0" xfId="0" applyNumberFormat="1" applyAlignment="1">
      <alignment horizontal="left"/>
    </xf>
    <xf numFmtId="165" fontId="0" fillId="0" borderId="0" xfId="0" applyNumberFormat="1" applyAlignment="1">
      <alignment horizontal="left" vertical="top" indent="4"/>
    </xf>
    <xf numFmtId="164" fontId="1" fillId="3" borderId="4" xfId="0" applyNumberFormat="1" applyFont="1" applyFill="1" applyBorder="1" applyAlignment="1">
      <alignment horizontal="right" vertical="center" wrapText="1"/>
    </xf>
    <xf numFmtId="164" fontId="1" fillId="4" borderId="5" xfId="0" applyNumberFormat="1" applyFont="1" applyFill="1" applyBorder="1" applyAlignment="1">
      <alignment horizontal="right" vertical="center" wrapText="1"/>
    </xf>
    <xf numFmtId="164" fontId="1" fillId="3" borderId="3" xfId="0" applyNumberFormat="1" applyFont="1" applyFill="1" applyBorder="1" applyAlignment="1">
      <alignment horizontal="right" vertical="center" wrapText="1"/>
    </xf>
    <xf numFmtId="0" fontId="0" fillId="6" borderId="0" xfId="0" applyFill="1"/>
    <xf numFmtId="0" fontId="4" fillId="6" borderId="0" xfId="0" applyFont="1" applyFill="1"/>
    <xf numFmtId="44" fontId="3" fillId="5" borderId="0" xfId="1" applyFont="1" applyFill="1" applyAlignment="1">
      <alignment horizontal="center"/>
    </xf>
    <xf numFmtId="0" fontId="6" fillId="7" borderId="0" xfId="0" applyFont="1" applyFill="1" applyAlignment="1">
      <alignment horizontal="center"/>
    </xf>
    <xf numFmtId="0" fontId="6" fillId="6" borderId="0" xfId="0" applyFont="1" applyFill="1"/>
    <xf numFmtId="0" fontId="0" fillId="0" borderId="0" xfId="0" applyNumberFormat="1"/>
  </cellXfs>
  <cellStyles count="2">
    <cellStyle name="Currency" xfId="1" builtinId="4"/>
    <cellStyle name="Normal" xfId="0" builtinId="0"/>
  </cellStyles>
  <dxfs count="0"/>
  <tableStyles count="0" defaultTableStyle="TableStyleMedium9" defaultPivotStyle="PivotStyleLight16"/>
  <colors>
    <mruColors>
      <color rgb="FF048E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001.xlsx]Sheet3!PivotTable9</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t>REVENUE BY REGION</a:t>
            </a:r>
          </a:p>
        </c:rich>
      </c:tx>
      <c:layout>
        <c:manualLayout>
          <c:xMode val="edge"/>
          <c:yMode val="edge"/>
          <c:x val="0.29429773662551439"/>
          <c:y val="3.9285714285714306E-3"/>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Sheet3!$A$4:$A$8</c:f>
              <c:strCache>
                <c:ptCount val="4"/>
                <c:pt idx="0">
                  <c:v>East</c:v>
                </c:pt>
                <c:pt idx="1">
                  <c:v>North</c:v>
                </c:pt>
                <c:pt idx="2">
                  <c:v>South</c:v>
                </c:pt>
                <c:pt idx="3">
                  <c:v>West</c:v>
                </c:pt>
              </c:strCache>
            </c:strRef>
          </c:cat>
          <c:val>
            <c:numRef>
              <c:f>Sheet3!$B$4:$B$8</c:f>
              <c:numCache>
                <c:formatCode>\₹#,##0</c:formatCode>
                <c:ptCount val="4"/>
                <c:pt idx="0">
                  <c:v>123950</c:v>
                </c:pt>
                <c:pt idx="1">
                  <c:v>307040</c:v>
                </c:pt>
                <c:pt idx="2">
                  <c:v>83340</c:v>
                </c:pt>
                <c:pt idx="3">
                  <c:v>95370</c:v>
                </c:pt>
              </c:numCache>
            </c:numRef>
          </c:val>
          <c:extLst>
            <c:ext xmlns:c16="http://schemas.microsoft.com/office/drawing/2014/chart" uri="{C3380CC4-5D6E-409C-BE32-E72D297353CC}">
              <c16:uniqueId val="{00000000-8308-4821-A669-D79930299210}"/>
            </c:ext>
          </c:extLst>
        </c:ser>
        <c:dLbls>
          <c:dLblPos val="inEnd"/>
          <c:showLegendKey val="0"/>
          <c:showVal val="1"/>
          <c:showCatName val="0"/>
          <c:showSerName val="0"/>
          <c:showPercent val="0"/>
          <c:showBubbleSize val="0"/>
        </c:dLbls>
        <c:gapWidth val="355"/>
        <c:overlap val="-70"/>
        <c:axId val="67386880"/>
        <c:axId val="2123827887"/>
      </c:barChart>
      <c:catAx>
        <c:axId val="6738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3827887"/>
        <c:crosses val="autoZero"/>
        <c:auto val="1"/>
        <c:lblAlgn val="ctr"/>
        <c:lblOffset val="100"/>
        <c:noMultiLvlLbl val="0"/>
      </c:catAx>
      <c:valAx>
        <c:axId val="212382788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38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001.xlsx]Sheet3!PivotTable10</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REVENUE BY CATEGORY</a:t>
            </a:r>
          </a:p>
        </c:rich>
      </c:tx>
      <c:layout>
        <c:manualLayout>
          <c:xMode val="edge"/>
          <c:yMode val="edge"/>
          <c:x val="0.31321069958847736"/>
          <c:y val="7.448412698412698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655249343832024"/>
          <c:y val="0.26328484981044037"/>
          <c:w val="0.41147353455818025"/>
          <c:h val="0.68578922426363376"/>
        </c:manualLayout>
      </c:layout>
      <c:pieChart>
        <c:varyColors val="1"/>
        <c:ser>
          <c:idx val="0"/>
          <c:order val="0"/>
          <c:tx>
            <c:strRef>
              <c:f>Sheet3!$B$11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42C-46E2-88D2-F219E123763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42C-46E2-88D2-F219E123763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42C-46E2-88D2-F219E123763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Sheet3!$A$12:$A$15</c:f>
              <c:strCache>
                <c:ptCount val="3"/>
                <c:pt idx="0">
                  <c:v>Electronics</c:v>
                </c:pt>
                <c:pt idx="1">
                  <c:v>Furniture</c:v>
                </c:pt>
                <c:pt idx="2">
                  <c:v>Stationery</c:v>
                </c:pt>
              </c:strCache>
            </c:strRef>
          </c:cat>
          <c:val>
            <c:numRef>
              <c:f>Sheet3!$B$12:$B$15</c:f>
              <c:numCache>
                <c:formatCode>General</c:formatCode>
                <c:ptCount val="3"/>
                <c:pt idx="0">
                  <c:v>31</c:v>
                </c:pt>
                <c:pt idx="1">
                  <c:v>9</c:v>
                </c:pt>
                <c:pt idx="2">
                  <c:v>10</c:v>
                </c:pt>
              </c:numCache>
            </c:numRef>
          </c:val>
          <c:extLst>
            <c:ext xmlns:c16="http://schemas.microsoft.com/office/drawing/2014/chart" uri="{C3380CC4-5D6E-409C-BE32-E72D297353CC}">
              <c16:uniqueId val="{00000006-842C-46E2-88D2-F219E123763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8073236009732361"/>
          <c:y val="0.38699682539682539"/>
          <c:w val="0.18579237631792375"/>
          <c:h val="0.4341932539682540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001.xlsx]Sheet3!PivotTable11</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REVENUE TREND BY DATE</a:t>
            </a:r>
          </a:p>
        </c:rich>
      </c:tx>
      <c:layout>
        <c:manualLayout>
          <c:xMode val="edge"/>
          <c:yMode val="edge"/>
          <c:x val="0.40031766381766376"/>
          <c:y val="8.4563492063492063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Sheet3!$B$18</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Sheet3!$A$19:$A$24</c:f>
              <c:strCache>
                <c:ptCount val="5"/>
                <c:pt idx="0">
                  <c:v>Jan</c:v>
                </c:pt>
                <c:pt idx="1">
                  <c:v>Feb</c:v>
                </c:pt>
                <c:pt idx="2">
                  <c:v>Mar</c:v>
                </c:pt>
                <c:pt idx="3">
                  <c:v>Apr</c:v>
                </c:pt>
                <c:pt idx="4">
                  <c:v>May</c:v>
                </c:pt>
              </c:strCache>
            </c:strRef>
          </c:cat>
          <c:val>
            <c:numRef>
              <c:f>Sheet3!$B$19:$B$24</c:f>
              <c:numCache>
                <c:formatCode>\₹#,##0</c:formatCode>
                <c:ptCount val="5"/>
                <c:pt idx="0">
                  <c:v>155980</c:v>
                </c:pt>
                <c:pt idx="1">
                  <c:v>70410</c:v>
                </c:pt>
                <c:pt idx="2">
                  <c:v>174545</c:v>
                </c:pt>
                <c:pt idx="3">
                  <c:v>64245</c:v>
                </c:pt>
                <c:pt idx="4">
                  <c:v>144520</c:v>
                </c:pt>
              </c:numCache>
            </c:numRef>
          </c:val>
          <c:smooth val="0"/>
          <c:extLst>
            <c:ext xmlns:c16="http://schemas.microsoft.com/office/drawing/2014/chart" uri="{C3380CC4-5D6E-409C-BE32-E72D297353CC}">
              <c16:uniqueId val="{00000000-51DB-4AF0-AA9D-F81A0DC7C063}"/>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7540928"/>
        <c:axId val="1984216559"/>
      </c:lineChart>
      <c:catAx>
        <c:axId val="675409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1984216559"/>
        <c:crosses val="autoZero"/>
        <c:auto val="1"/>
        <c:lblAlgn val="ctr"/>
        <c:lblOffset val="100"/>
        <c:noMultiLvlLbl val="0"/>
      </c:catAx>
      <c:valAx>
        <c:axId val="19842165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754092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001.xlsx]Sheet3!PivotTable12</c:name>
    <c:fmtId val="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CHANNEL</a:t>
            </a:r>
          </a:p>
        </c:rich>
      </c:tx>
      <c:layout>
        <c:manualLayout>
          <c:xMode val="edge"/>
          <c:yMode val="edge"/>
          <c:x val="0.37693271604938278"/>
          <c:y val="5.432539682539682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Sheet3!$B$27</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Sheet3!$A$28:$A$31</c:f>
              <c:strCache>
                <c:ptCount val="3"/>
                <c:pt idx="0">
                  <c:v>App</c:v>
                </c:pt>
                <c:pt idx="1">
                  <c:v>Store</c:v>
                </c:pt>
                <c:pt idx="2">
                  <c:v>Web</c:v>
                </c:pt>
              </c:strCache>
            </c:strRef>
          </c:cat>
          <c:val>
            <c:numRef>
              <c:f>Sheet3!$B$28:$B$31</c:f>
              <c:numCache>
                <c:formatCode>\₹#,##0</c:formatCode>
                <c:ptCount val="3"/>
                <c:pt idx="0">
                  <c:v>126635</c:v>
                </c:pt>
                <c:pt idx="1">
                  <c:v>216000</c:v>
                </c:pt>
                <c:pt idx="2">
                  <c:v>267065</c:v>
                </c:pt>
              </c:numCache>
            </c:numRef>
          </c:val>
          <c:extLst>
            <c:ext xmlns:c16="http://schemas.microsoft.com/office/drawing/2014/chart" uri="{C3380CC4-5D6E-409C-BE32-E72D297353CC}">
              <c16:uniqueId val="{00000000-93C0-4363-A99B-D557F51E13EE}"/>
            </c:ext>
          </c:extLst>
        </c:ser>
        <c:dLbls>
          <c:showLegendKey val="0"/>
          <c:showVal val="0"/>
          <c:showCatName val="0"/>
          <c:showSerName val="0"/>
          <c:showPercent val="0"/>
          <c:showBubbleSize val="0"/>
        </c:dLbls>
        <c:gapWidth val="326"/>
        <c:overlap val="-58"/>
        <c:axId val="1982589839"/>
        <c:axId val="1984197839"/>
      </c:barChart>
      <c:catAx>
        <c:axId val="1982589839"/>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4197839"/>
        <c:crosses val="autoZero"/>
        <c:auto val="1"/>
        <c:lblAlgn val="ctr"/>
        <c:lblOffset val="100"/>
        <c:noMultiLvlLbl val="0"/>
      </c:catAx>
      <c:valAx>
        <c:axId val="1984197839"/>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258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314325</xdr:colOff>
      <xdr:row>2</xdr:row>
      <xdr:rowOff>180975</xdr:rowOff>
    </xdr:from>
    <xdr:to>
      <xdr:col>3</xdr:col>
      <xdr:colOff>285525</xdr:colOff>
      <xdr:row>13</xdr:row>
      <xdr:rowOff>10425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79C457E-B640-46D8-8F0C-7ADC3C5B46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14325" y="771525"/>
              <a:ext cx="1800000" cy="194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314325</xdr:colOff>
      <xdr:row>13</xdr:row>
      <xdr:rowOff>85724</xdr:rowOff>
    </xdr:from>
    <xdr:to>
      <xdr:col>3</xdr:col>
      <xdr:colOff>285525</xdr:colOff>
      <xdr:row>23</xdr:row>
      <xdr:rowOff>124724</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6F10B772-FD05-4814-9642-B72A48DC58A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4325" y="2790824"/>
              <a:ext cx="1800000" cy="194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24</xdr:row>
      <xdr:rowOff>19050</xdr:rowOff>
    </xdr:from>
    <xdr:to>
      <xdr:col>3</xdr:col>
      <xdr:colOff>276000</xdr:colOff>
      <xdr:row>34</xdr:row>
      <xdr:rowOff>58050</xdr:rowOff>
    </xdr:to>
    <mc:AlternateContent xmlns:mc="http://schemas.openxmlformats.org/markup-compatibility/2006" xmlns:a14="http://schemas.microsoft.com/office/drawing/2010/main">
      <mc:Choice Requires="a14">
        <xdr:graphicFrame macro="">
          <xdr:nvGraphicFramePr>
            <xdr:cNvPr id="4" name="Date">
              <a:extLst>
                <a:ext uri="{FF2B5EF4-FFF2-40B4-BE49-F238E27FC236}">
                  <a16:creationId xmlns:a16="http://schemas.microsoft.com/office/drawing/2014/main" id="{C0330197-0EAC-4633-BC20-0655FA4488E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304800" y="4819650"/>
              <a:ext cx="1800000" cy="194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34</xdr:row>
      <xdr:rowOff>133350</xdr:rowOff>
    </xdr:from>
    <xdr:to>
      <xdr:col>3</xdr:col>
      <xdr:colOff>276000</xdr:colOff>
      <xdr:row>44</xdr:row>
      <xdr:rowOff>172350</xdr:rowOff>
    </xdr:to>
    <mc:AlternateContent xmlns:mc="http://schemas.openxmlformats.org/markup-compatibility/2006" xmlns:a14="http://schemas.microsoft.com/office/drawing/2010/main">
      <mc:Choice Requires="a14">
        <xdr:graphicFrame macro="">
          <xdr:nvGraphicFramePr>
            <xdr:cNvPr id="5" name="Channel">
              <a:extLst>
                <a:ext uri="{FF2B5EF4-FFF2-40B4-BE49-F238E27FC236}">
                  <a16:creationId xmlns:a16="http://schemas.microsoft.com/office/drawing/2014/main" id="{9720566D-E5D3-40BB-996D-CFF431CD4A24}"/>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304800" y="6838950"/>
              <a:ext cx="1800000" cy="194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581025</xdr:colOff>
      <xdr:row>7</xdr:row>
      <xdr:rowOff>161925</xdr:rowOff>
    </xdr:from>
    <xdr:to>
      <xdr:col>11</xdr:col>
      <xdr:colOff>221325</xdr:colOff>
      <xdr:row>21</xdr:row>
      <xdr:rowOff>14925</xdr:rowOff>
    </xdr:to>
    <xdr:graphicFrame macro="">
      <xdr:nvGraphicFramePr>
        <xdr:cNvPr id="6" name="Chart 5">
          <a:extLst>
            <a:ext uri="{FF2B5EF4-FFF2-40B4-BE49-F238E27FC236}">
              <a16:creationId xmlns:a16="http://schemas.microsoft.com/office/drawing/2014/main" id="{385ACBDB-5DA2-4154-AAEC-661F491B5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295275</xdr:colOff>
      <xdr:row>7</xdr:row>
      <xdr:rowOff>142875</xdr:rowOff>
    </xdr:from>
    <xdr:to>
      <xdr:col>17</xdr:col>
      <xdr:colOff>274275</xdr:colOff>
      <xdr:row>20</xdr:row>
      <xdr:rowOff>186375</xdr:rowOff>
    </xdr:to>
    <xdr:graphicFrame macro="">
      <xdr:nvGraphicFramePr>
        <xdr:cNvPr id="7" name="Chart 6">
          <a:extLst>
            <a:ext uri="{FF2B5EF4-FFF2-40B4-BE49-F238E27FC236}">
              <a16:creationId xmlns:a16="http://schemas.microsoft.com/office/drawing/2014/main" id="{F942630A-F14E-42BE-817C-038FBA827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552450</xdr:colOff>
      <xdr:row>34</xdr:row>
      <xdr:rowOff>161925</xdr:rowOff>
    </xdr:from>
    <xdr:to>
      <xdr:col>17</xdr:col>
      <xdr:colOff>207750</xdr:colOff>
      <xdr:row>48</xdr:row>
      <xdr:rowOff>14925</xdr:rowOff>
    </xdr:to>
    <xdr:graphicFrame macro="">
      <xdr:nvGraphicFramePr>
        <xdr:cNvPr id="8" name="Chart 7">
          <a:extLst>
            <a:ext uri="{FF2B5EF4-FFF2-40B4-BE49-F238E27FC236}">
              <a16:creationId xmlns:a16="http://schemas.microsoft.com/office/drawing/2014/main" id="{1129C13C-2F67-4E0E-B70A-4054B851B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304800</xdr:colOff>
      <xdr:row>21</xdr:row>
      <xdr:rowOff>38100</xdr:rowOff>
    </xdr:from>
    <xdr:to>
      <xdr:col>17</xdr:col>
      <xdr:colOff>283800</xdr:colOff>
      <xdr:row>34</xdr:row>
      <xdr:rowOff>81600</xdr:rowOff>
    </xdr:to>
    <xdr:graphicFrame macro="">
      <xdr:nvGraphicFramePr>
        <xdr:cNvPr id="11" name="Chart 10">
          <a:extLst>
            <a:ext uri="{FF2B5EF4-FFF2-40B4-BE49-F238E27FC236}">
              <a16:creationId xmlns:a16="http://schemas.microsoft.com/office/drawing/2014/main" id="{935E7F98-3080-4D00-850B-31BFDA908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533400</xdr:colOff>
      <xdr:row>23</xdr:row>
      <xdr:rowOff>28575</xdr:rowOff>
    </xdr:from>
    <xdr:to>
      <xdr:col>11</xdr:col>
      <xdr:colOff>137700</xdr:colOff>
      <xdr:row>30</xdr:row>
      <xdr:rowOff>135075</xdr:rowOff>
    </xdr:to>
    <mc:AlternateContent xmlns:mc="http://schemas.openxmlformats.org/markup-compatibility/2006" xmlns:tsle="http://schemas.microsoft.com/office/drawing/2012/timeslicer">
      <mc:Choice Requires="tsle">
        <xdr:graphicFrame macro="">
          <xdr:nvGraphicFramePr>
            <xdr:cNvPr id="12" name="Date 1">
              <a:extLst>
                <a:ext uri="{FF2B5EF4-FFF2-40B4-BE49-F238E27FC236}">
                  <a16:creationId xmlns:a16="http://schemas.microsoft.com/office/drawing/2014/main" id="{52F65552-E3F3-471D-8640-EB26EEA16615}"/>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362200" y="4638675"/>
              <a:ext cx="4824000" cy="144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304.618877314817" createdVersion="8" refreshedVersion="8" minRefreshableVersion="3" recordCount="50" xr:uid="{6271DD27-7AAE-4564-AB7C-54E743958101}">
  <cacheSource type="worksheet">
    <worksheetSource ref="A1:J51" sheet="E-Commerce Data"/>
  </cacheSource>
  <cacheFields count="12">
    <cacheField name="Order ID" numFmtId="0">
      <sharedItems/>
    </cacheField>
    <cacheField name="Date" numFmtId="14">
      <sharedItems containsSemiMixedTypes="0" containsNonDate="0" containsDate="1" containsString="0" minDate="2024-01-05T00:00:00" maxDate="2024-05-26T00:00:00" count="50">
        <d v="2024-01-05T00:00:00"/>
        <d v="2024-01-08T00:00:00"/>
        <d v="2024-01-10T00:00:00"/>
        <d v="2024-01-12T00:00:00"/>
        <d v="2024-01-15T00:00:00"/>
        <d v="2024-01-18T00:00:00"/>
        <d v="2024-01-20T00:00:00"/>
        <d v="2024-01-22T00:00:00"/>
        <d v="2024-01-25T00:00:00"/>
        <d v="2024-01-28T00:00:00"/>
        <d v="2024-02-02T00:00:00"/>
        <d v="2024-02-05T00:00:00"/>
        <d v="2024-02-08T00:00:00"/>
        <d v="2024-02-10T00:00:00"/>
        <d v="2024-02-12T00:00:00"/>
        <d v="2024-02-15T00:00:00"/>
        <d v="2024-02-18T00:00:00"/>
        <d v="2024-02-20T00:00:00"/>
        <d v="2024-02-22T00:00:00"/>
        <d v="2024-02-25T00:00:00"/>
        <d v="2024-03-01T00:00:00"/>
        <d v="2024-03-03T00:00:00"/>
        <d v="2024-03-05T00:00:00"/>
        <d v="2024-03-08T00:00:00"/>
        <d v="2024-03-10T00:00:00"/>
        <d v="2024-03-12T00:00:00"/>
        <d v="2024-03-15T00:00:00"/>
        <d v="2024-03-18T00:00:00"/>
        <d v="2024-03-20T00:00:00"/>
        <d v="2024-03-22T00:00:00"/>
        <d v="2024-04-02T00:00:00"/>
        <d v="2024-04-05T00:00:00"/>
        <d v="2024-04-08T00:00:00"/>
        <d v="2024-04-10T00:00:00"/>
        <d v="2024-04-12T00:00:00"/>
        <d v="2024-04-15T00:00:00"/>
        <d v="2024-04-18T00:00:00"/>
        <d v="2024-04-20T00:00:00"/>
        <d v="2024-04-22T00:00:00"/>
        <d v="2024-04-25T00:00:00"/>
        <d v="2024-05-02T00:00:00"/>
        <d v="2024-05-05T00:00:00"/>
        <d v="2024-05-08T00:00:00"/>
        <d v="2024-05-10T00:00:00"/>
        <d v="2024-05-12T00:00:00"/>
        <d v="2024-05-15T00:00:00"/>
        <d v="2024-05-18T00:00:00"/>
        <d v="2024-05-20T00:00:00"/>
        <d v="2024-05-22T00:00:00"/>
        <d v="2024-05-25T00:00:00"/>
      </sharedItems>
      <fieldGroup par="11"/>
    </cacheField>
    <cacheField name="Customer" numFmtId="0">
      <sharedItems/>
    </cacheField>
    <cacheField name="Segment" numFmtId="0">
      <sharedItems/>
    </cacheField>
    <cacheField name="Product" numFmtId="0">
      <sharedItems/>
    </cacheField>
    <cacheField name="Category" numFmtId="0">
      <sharedItems count="3">
        <s v="Electronics"/>
        <s v="Furniture"/>
        <s v="Stationery"/>
      </sharedItems>
    </cacheField>
    <cacheField name="Region" numFmtId="0">
      <sharedItems count="4">
        <s v="North"/>
        <s v="South"/>
        <s v="West"/>
        <s v="East"/>
      </sharedItems>
    </cacheField>
    <cacheField name="Channel" numFmtId="0">
      <sharedItems count="3">
        <s v="Web"/>
        <s v="App"/>
        <s v="Store"/>
      </sharedItems>
    </cacheField>
    <cacheField name="Revenue (₹)" numFmtId="164">
      <sharedItems containsSemiMixedTypes="0" containsString="0" containsNumber="1" containsInteger="1" minValue="45" maxValue="85000"/>
    </cacheField>
    <cacheField name="COGS (₹)" numFmtId="164">
      <sharedItems containsSemiMixedTypes="0" containsString="0" containsNumber="1" containsInteger="1" minValue="20" maxValue="52000"/>
    </cacheField>
    <cacheField name="Days (Date)" numFmtId="0" databaseField="0">
      <fieldGroup base="1">
        <rangePr groupBy="days" startDate="2024-01-05T00:00:00" endDate="2024-05-26T00:00:00"/>
        <groupItems count="368">
          <s v="&lt;05-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5-2024"/>
        </groupItems>
      </fieldGroup>
    </cacheField>
    <cacheField name="Months (Date)" numFmtId="0" databaseField="0">
      <fieldGroup base="1">
        <rangePr groupBy="months" startDate="2024-01-05T00:00:00" endDate="2024-05-26T00:00:00"/>
        <groupItems count="14">
          <s v="&lt;05-01-2024"/>
          <s v="Jan"/>
          <s v="Feb"/>
          <s v="Mar"/>
          <s v="Apr"/>
          <s v="May"/>
          <s v="Jun"/>
          <s v="Jul"/>
          <s v="Aug"/>
          <s v="Sep"/>
          <s v="Oct"/>
          <s v="Nov"/>
          <s v="Dec"/>
          <s v="&gt;26-05-2024"/>
        </groupItems>
      </fieldGroup>
    </cacheField>
  </cacheFields>
  <extLst>
    <ext xmlns:x14="http://schemas.microsoft.com/office/spreadsheetml/2009/9/main" uri="{725AE2AE-9491-48be-B2B4-4EB974FC3084}">
      <x14:pivotCacheDefinition pivotCacheId="1734600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ORD-E001"/>
    <x v="0"/>
    <s v="Ananya Sharma"/>
    <s v="Premium"/>
    <s v="Laptop"/>
    <x v="0"/>
    <x v="0"/>
    <x v="0"/>
    <n v="85000"/>
    <n v="52000"/>
  </r>
  <r>
    <s v="ORD-E002"/>
    <x v="1"/>
    <s v="Vikram Joshi"/>
    <s v="Regular"/>
    <s v="Wireless Mouse"/>
    <x v="0"/>
    <x v="1"/>
    <x v="1"/>
    <n v="1200"/>
    <n v="600"/>
  </r>
  <r>
    <s v="ORD-E003"/>
    <x v="2"/>
    <s v="Priya Nair"/>
    <s v="Premium"/>
    <s v="Office Chair"/>
    <x v="1"/>
    <x v="2"/>
    <x v="2"/>
    <n v="12000"/>
    <n v="7000"/>
  </r>
  <r>
    <s v="ORD-E004"/>
    <x v="3"/>
    <s v="Rohan Mehta"/>
    <s v="New"/>
    <s v="A4 Notebooks"/>
    <x v="2"/>
    <x v="3"/>
    <x v="0"/>
    <n v="900"/>
    <n v="400"/>
  </r>
  <r>
    <s v="ORD-E005"/>
    <x v="4"/>
    <s v="Deepa Singh"/>
    <s v="Regular"/>
    <s v="USB-C Hub"/>
    <x v="0"/>
    <x v="0"/>
    <x v="1"/>
    <n v="2500"/>
    <n v="1200"/>
  </r>
  <r>
    <s v="ORD-E006"/>
    <x v="5"/>
    <s v="Arjun Kumar"/>
    <s v="Premium"/>
    <s v="Standing Desk"/>
    <x v="1"/>
    <x v="1"/>
    <x v="2"/>
    <n v="28000"/>
    <n v="16000"/>
  </r>
  <r>
    <s v="ORD-E007"/>
    <x v="6"/>
    <s v="Sneha Reddy"/>
    <s v="Regular"/>
    <s v="LED Monitor"/>
    <x v="0"/>
    <x v="2"/>
    <x v="0"/>
    <n v="18500"/>
    <n v="11000"/>
  </r>
  <r>
    <s v="ORD-E008"/>
    <x v="7"/>
    <s v="Kiran Pillai"/>
    <s v="New"/>
    <s v="Ballpoint Pens"/>
    <x v="2"/>
    <x v="3"/>
    <x v="1"/>
    <n v="180"/>
    <n v="80"/>
  </r>
  <r>
    <s v="ORD-E009"/>
    <x v="8"/>
    <s v="Meena Iyer"/>
    <s v="Premium"/>
    <s v="Mechanical Keyboard"/>
    <x v="0"/>
    <x v="0"/>
    <x v="0"/>
    <n v="4500"/>
    <n v="2500"/>
  </r>
  <r>
    <s v="ORD-E010"/>
    <x v="9"/>
    <s v="Suresh Gupta"/>
    <s v="Regular"/>
    <s v="Webcam HD"/>
    <x v="0"/>
    <x v="1"/>
    <x v="2"/>
    <n v="3200"/>
    <n v="1800"/>
  </r>
  <r>
    <s v="ORD-E011"/>
    <x v="10"/>
    <s v="Divya Bose"/>
    <s v="Premium"/>
    <s v="Tablet 10&quot;"/>
    <x v="0"/>
    <x v="2"/>
    <x v="0"/>
    <n v="22000"/>
    <n v="13000"/>
  </r>
  <r>
    <s v="ORD-E012"/>
    <x v="11"/>
    <s v="Ajay Menon"/>
    <s v="Regular"/>
    <s v="Smart Speaker"/>
    <x v="0"/>
    <x v="3"/>
    <x v="1"/>
    <n v="7500"/>
    <n v="4200"/>
  </r>
  <r>
    <s v="ORD-E013"/>
    <x v="12"/>
    <s v="Lakshmi Rao"/>
    <s v="New"/>
    <s v="Desk Lamp"/>
    <x v="0"/>
    <x v="0"/>
    <x v="0"/>
    <n v="1800"/>
    <n v="900"/>
  </r>
  <r>
    <s v="ORD-E014"/>
    <x v="13"/>
    <s v="Ganesh Patel"/>
    <s v="Regular"/>
    <s v="Filing Cabinet"/>
    <x v="1"/>
    <x v="1"/>
    <x v="2"/>
    <n v="8500"/>
    <n v="5000"/>
  </r>
  <r>
    <s v="ORD-E015"/>
    <x v="14"/>
    <s v="Sunita Shah"/>
    <s v="Premium"/>
    <s v="Document Scanner"/>
    <x v="0"/>
    <x v="2"/>
    <x v="0"/>
    <n v="14500"/>
    <n v="8500"/>
  </r>
  <r>
    <s v="ORD-E016"/>
    <x v="15"/>
    <s v="Ravi Kapoor"/>
    <s v="Regular"/>
    <s v="Headset"/>
    <x v="0"/>
    <x v="3"/>
    <x v="1"/>
    <n v="2800"/>
    <n v="1400"/>
  </r>
  <r>
    <s v="ORD-E017"/>
    <x v="16"/>
    <s v="Pooja Saxena"/>
    <s v="New"/>
    <s v="Sticky Notes"/>
    <x v="2"/>
    <x v="0"/>
    <x v="0"/>
    <n v="120"/>
    <n v="50"/>
  </r>
  <r>
    <s v="ORD-E018"/>
    <x v="17"/>
    <s v="Manish Tiwari"/>
    <s v="Premium"/>
    <s v="External HDD"/>
    <x v="0"/>
    <x v="1"/>
    <x v="2"/>
    <n v="5500"/>
    <n v="3200"/>
  </r>
  <r>
    <s v="ORD-E019"/>
    <x v="18"/>
    <s v="Kavya Sharma"/>
    <s v="Regular"/>
    <s v="Bookshelf"/>
    <x v="1"/>
    <x v="2"/>
    <x v="1"/>
    <n v="6800"/>
    <n v="3800"/>
  </r>
  <r>
    <s v="ORD-E020"/>
    <x v="19"/>
    <s v="Tarun Nair"/>
    <s v="Regular"/>
    <s v="Power Strip"/>
    <x v="0"/>
    <x v="3"/>
    <x v="0"/>
    <n v="890"/>
    <n v="450"/>
  </r>
  <r>
    <s v="ORD-E021"/>
    <x v="20"/>
    <s v="Ananya Sharma"/>
    <s v="Premium"/>
    <s v="Monitor"/>
    <x v="0"/>
    <x v="0"/>
    <x v="0"/>
    <n v="18500"/>
    <n v="11000"/>
  </r>
  <r>
    <s v="ORD-E022"/>
    <x v="21"/>
    <s v="Preethi Kumar"/>
    <s v="New"/>
    <s v="Printer Paper"/>
    <x v="2"/>
    <x v="1"/>
    <x v="1"/>
    <n v="380"/>
    <n v="170"/>
  </r>
  <r>
    <s v="ORD-E023"/>
    <x v="22"/>
    <s v="Vijay Singh"/>
    <s v="Regular"/>
    <s v="Ergonomic Footrest"/>
    <x v="1"/>
    <x v="2"/>
    <x v="2"/>
    <n v="1500"/>
    <n v="800"/>
  </r>
  <r>
    <s v="ORD-E024"/>
    <x v="23"/>
    <s v="Asha Pillai"/>
    <s v="Premium"/>
    <s v="Projector HD"/>
    <x v="0"/>
    <x v="3"/>
    <x v="0"/>
    <n v="45000"/>
    <n v="28000"/>
  </r>
  <r>
    <s v="ORD-E025"/>
    <x v="24"/>
    <s v="Sunil Bose"/>
    <s v="Regular"/>
    <s v="Laptop"/>
    <x v="0"/>
    <x v="0"/>
    <x v="1"/>
    <n v="85000"/>
    <n v="52000"/>
  </r>
  <r>
    <s v="ORD-E026"/>
    <x v="25"/>
    <s v="Nisha Joshi"/>
    <s v="New"/>
    <s v="Stapler"/>
    <x v="2"/>
    <x v="1"/>
    <x v="0"/>
    <n v="620"/>
    <n v="300"/>
  </r>
  <r>
    <s v="ORD-E027"/>
    <x v="26"/>
    <s v="Kartik Reddy"/>
    <s v="Regular"/>
    <s v="Visitor Chair"/>
    <x v="1"/>
    <x v="2"/>
    <x v="2"/>
    <n v="4500"/>
    <n v="2600"/>
  </r>
  <r>
    <s v="ORD-E028"/>
    <x v="27"/>
    <s v="Preethi Iyer"/>
    <s v="Premium"/>
    <s v="Air Purifier"/>
    <x v="0"/>
    <x v="3"/>
    <x v="0"/>
    <n v="12500"/>
    <n v="7500"/>
  </r>
  <r>
    <s v="ORD-E029"/>
    <x v="28"/>
    <s v="Deepak Rao"/>
    <s v="Regular"/>
    <s v="Label Printer"/>
    <x v="0"/>
    <x v="0"/>
    <x v="1"/>
    <n v="6500"/>
    <n v="3800"/>
  </r>
  <r>
    <s v="ORD-E030"/>
    <x v="29"/>
    <s v="Rekha Mehta"/>
    <s v="New"/>
    <s v="Paper Clips"/>
    <x v="2"/>
    <x v="1"/>
    <x v="0"/>
    <n v="45"/>
    <n v="20"/>
  </r>
  <r>
    <s v="ORD-E031"/>
    <x v="30"/>
    <s v="Sanjay Gupta"/>
    <s v="Premium"/>
    <s v="Conference Phone"/>
    <x v="0"/>
    <x v="2"/>
    <x v="2"/>
    <n v="12000"/>
    <n v="7000"/>
  </r>
  <r>
    <s v="ORD-E032"/>
    <x v="31"/>
    <s v="Divya Nambiar"/>
    <s v="Regular"/>
    <s v="Mouse Pad XL"/>
    <x v="0"/>
    <x v="3"/>
    <x v="1"/>
    <n v="380"/>
    <n v="180"/>
  </r>
  <r>
    <s v="ORD-E033"/>
    <x v="32"/>
    <s v="Arjun Bhatt"/>
    <s v="New"/>
    <s v="Highlighter Set"/>
    <x v="2"/>
    <x v="0"/>
    <x v="0"/>
    <n v="220"/>
    <n v="100"/>
  </r>
  <r>
    <s v="ORD-E034"/>
    <x v="33"/>
    <s v="Kavitha Shah"/>
    <s v="Premium"/>
    <s v="UPS 600VA"/>
    <x v="0"/>
    <x v="1"/>
    <x v="2"/>
    <n v="3800"/>
    <n v="2200"/>
  </r>
  <r>
    <s v="ORD-E035"/>
    <x v="34"/>
    <s v="Rohan Iyer"/>
    <s v="Regular"/>
    <s v="Laptop Stand"/>
    <x v="0"/>
    <x v="2"/>
    <x v="1"/>
    <n v="1200"/>
    <n v="620"/>
  </r>
  <r>
    <s v="ORD-E036"/>
    <x v="35"/>
    <s v="Sunita Patel"/>
    <s v="Premium"/>
    <s v="Meeting Table"/>
    <x v="1"/>
    <x v="3"/>
    <x v="2"/>
    <n v="35000"/>
    <n v="20000"/>
  </r>
  <r>
    <s v="ORD-E037"/>
    <x v="36"/>
    <s v="Vijay Kumar"/>
    <s v="Regular"/>
    <s v="Network Switch"/>
    <x v="0"/>
    <x v="0"/>
    <x v="0"/>
    <n v="2200"/>
    <n v="1200"/>
  </r>
  <r>
    <s v="ORD-E038"/>
    <x v="37"/>
    <s v="Pooja Rao"/>
    <s v="New"/>
    <s v="Binder A4"/>
    <x v="2"/>
    <x v="1"/>
    <x v="1"/>
    <n v="95"/>
    <n v="45"/>
  </r>
  <r>
    <s v="ORD-E039"/>
    <x v="38"/>
    <s v="Ganesh Mehta"/>
    <s v="Regular"/>
    <s v="Anti-Glare Screen"/>
    <x v="0"/>
    <x v="2"/>
    <x v="0"/>
    <n v="850"/>
    <n v="430"/>
  </r>
  <r>
    <s v="ORD-E040"/>
    <x v="39"/>
    <s v="Priya Kapoor"/>
    <s v="Premium"/>
    <s v="Office Safe"/>
    <x v="1"/>
    <x v="3"/>
    <x v="2"/>
    <n v="8500"/>
    <n v="5000"/>
  </r>
  <r>
    <s v="ORD-E041"/>
    <x v="40"/>
    <s v="Arun Singh"/>
    <s v="Regular"/>
    <s v="Wireless Mouse"/>
    <x v="0"/>
    <x v="0"/>
    <x v="1"/>
    <n v="1200"/>
    <n v="600"/>
  </r>
  <r>
    <s v="ORD-E042"/>
    <x v="41"/>
    <s v="Sneha Bose"/>
    <s v="Premium"/>
    <s v="Tablet 10&quot;"/>
    <x v="0"/>
    <x v="1"/>
    <x v="0"/>
    <n v="22000"/>
    <n v="13000"/>
  </r>
  <r>
    <s v="ORD-E043"/>
    <x v="42"/>
    <s v="Kiran Tiwari"/>
    <s v="New"/>
    <s v="A4 Notebooks"/>
    <x v="2"/>
    <x v="2"/>
    <x v="1"/>
    <n v="900"/>
    <n v="400"/>
  </r>
  <r>
    <s v="ORD-E044"/>
    <x v="43"/>
    <s v="Meena Saxena"/>
    <s v="Regular"/>
    <s v="Desk Lamp"/>
    <x v="0"/>
    <x v="3"/>
    <x v="0"/>
    <n v="1800"/>
    <n v="900"/>
  </r>
  <r>
    <s v="ORD-E045"/>
    <x v="44"/>
    <s v="Ajay Nair"/>
    <s v="Premium"/>
    <s v="Laptop"/>
    <x v="0"/>
    <x v="0"/>
    <x v="2"/>
    <n v="85000"/>
    <n v="52000"/>
  </r>
  <r>
    <s v="ORD-E046"/>
    <x v="45"/>
    <s v="Lakshmi Pillai"/>
    <s v="Regular"/>
    <s v="Smart Speaker"/>
    <x v="0"/>
    <x v="1"/>
    <x v="1"/>
    <n v="7500"/>
    <n v="4200"/>
  </r>
  <r>
    <s v="ORD-E047"/>
    <x v="46"/>
    <s v="Tarun Sharma"/>
    <s v="New"/>
    <s v="Stapler"/>
    <x v="2"/>
    <x v="2"/>
    <x v="0"/>
    <n v="620"/>
    <n v="300"/>
  </r>
  <r>
    <s v="ORD-E048"/>
    <x v="47"/>
    <s v="Divya Joshi"/>
    <s v="Regular"/>
    <s v="Filing Cabinet"/>
    <x v="1"/>
    <x v="3"/>
    <x v="2"/>
    <n v="8500"/>
    <n v="5000"/>
  </r>
  <r>
    <s v="ORD-E049"/>
    <x v="48"/>
    <s v="Ganesh Iyer"/>
    <s v="Premium"/>
    <s v="Document Scanner"/>
    <x v="0"/>
    <x v="0"/>
    <x v="0"/>
    <n v="14500"/>
    <n v="8500"/>
  </r>
  <r>
    <s v="ORD-E050"/>
    <x v="49"/>
    <s v="Sunita Bose"/>
    <s v="Regular"/>
    <s v="USB-C Hub"/>
    <x v="0"/>
    <x v="1"/>
    <x v="1"/>
    <n v="2500"/>
    <n v="1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328FA2-ADFF-4E83-BF0B-C669AFFFC43C}"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27:B31" firstHeaderRow="1" firstDataRow="1" firstDataCol="1"/>
  <pivotFields count="12">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4">
        <item x="0"/>
        <item x="1"/>
        <item x="2"/>
        <item t="default"/>
      </items>
    </pivotField>
    <pivotField showAll="0">
      <items count="5">
        <item x="3"/>
        <item x="0"/>
        <item x="1"/>
        <item x="2"/>
        <item t="default"/>
      </items>
    </pivotField>
    <pivotField axis="axisRow" showAll="0">
      <items count="4">
        <item x="1"/>
        <item x="2"/>
        <item x="0"/>
        <item t="default"/>
      </items>
    </pivotField>
    <pivotField dataField="1" numFmtId="164" showAll="0"/>
    <pivotField numFmtId="164"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4">
    <i>
      <x/>
    </i>
    <i>
      <x v="1"/>
    </i>
    <i>
      <x v="2"/>
    </i>
    <i t="grand">
      <x/>
    </i>
  </rowItems>
  <colItems count="1">
    <i/>
  </colItems>
  <dataFields count="1">
    <dataField name="Sum of Revenue (₹)" fld="8" baseField="0" baseItem="0" numFmtId="164"/>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795E9B-4B96-4185-91A3-C305415F3B77}" name="PivotTable1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location ref="A18:B24" firstHeaderRow="1" firstDataRow="1" firstDataCol="1"/>
  <pivotFields count="12">
    <pivotField showAll="0"/>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4">
        <item x="0"/>
        <item x="1"/>
        <item x="2"/>
        <item t="default"/>
      </items>
    </pivotField>
    <pivotField showAll="0">
      <items count="5">
        <item x="3"/>
        <item x="0"/>
        <item x="1"/>
        <item x="2"/>
        <item t="default"/>
      </items>
    </pivotField>
    <pivotField showAll="0">
      <items count="4">
        <item x="1"/>
        <item x="2"/>
        <item x="0"/>
        <item t="default"/>
      </items>
    </pivotField>
    <pivotField dataField="1" numFmtId="164" showAll="0"/>
    <pivotField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1"/>
    <field x="10"/>
    <field x="1"/>
  </rowFields>
  <rowItems count="6">
    <i>
      <x v="1"/>
    </i>
    <i>
      <x v="2"/>
    </i>
    <i>
      <x v="3"/>
    </i>
    <i>
      <x v="4"/>
    </i>
    <i>
      <x v="5"/>
    </i>
    <i t="grand">
      <x/>
    </i>
  </rowItems>
  <colItems count="1">
    <i/>
  </colItems>
  <dataFields count="1">
    <dataField name="Sum of Revenue (₹)" fld="8"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2CD5B4-4BF7-4752-BD79-12F2594D8D32}"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1:B15" firstHeaderRow="1" firstDataRow="1" firstDataCol="1"/>
  <pivotFields count="12">
    <pivotField dataField="1"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axis="axisRow" showAll="0">
      <items count="4">
        <item x="0"/>
        <item x="1"/>
        <item x="2"/>
        <item t="default"/>
      </items>
    </pivotField>
    <pivotField showAll="0">
      <items count="5">
        <item x="3"/>
        <item x="0"/>
        <item x="1"/>
        <item x="2"/>
        <item t="default"/>
      </items>
    </pivotField>
    <pivotField showAll="0">
      <items count="4">
        <item x="1"/>
        <item x="2"/>
        <item x="0"/>
        <item t="default"/>
      </items>
    </pivotField>
    <pivotField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Count of Order ID" fld="0"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CE87DB-88CF-44E6-9CAE-0AF3B42A748C}"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8" firstHeaderRow="1" firstDataRow="1" firstDataCol="1"/>
  <pivotFields count="12">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4">
        <item x="0"/>
        <item x="1"/>
        <item x="2"/>
        <item t="default"/>
      </items>
    </pivotField>
    <pivotField axis="axisRow" showAll="0">
      <items count="5">
        <item x="3"/>
        <item x="0"/>
        <item x="1"/>
        <item x="2"/>
        <item t="default"/>
      </items>
    </pivotField>
    <pivotField showAll="0">
      <items count="4">
        <item x="1"/>
        <item x="2"/>
        <item x="0"/>
        <item t="default"/>
      </items>
    </pivotField>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Revenue (₹)" fld="8" baseField="0" baseItem="0" numFmtId="164"/>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0C60BA-1C11-4614-BE5F-4B533206DD6F}" sourceName="Region">
  <pivotTables>
    <pivotTable tabId="9" name="PivotTable9"/>
    <pivotTable tabId="9" name="PivotTable10"/>
    <pivotTable tabId="9" name="PivotTable11"/>
    <pivotTable tabId="9" name="PivotTable12"/>
  </pivotTables>
  <data>
    <tabular pivotCacheId="1734600584">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4B2320-6DB8-47DB-A28B-87B0B8D33DF3}" sourceName="Category">
  <pivotTables>
    <pivotTable tabId="9" name="PivotTable10"/>
    <pivotTable tabId="9" name="PivotTable11"/>
    <pivotTable tabId="9" name="PivotTable12"/>
    <pivotTable tabId="9" name="PivotTable9"/>
  </pivotTables>
  <data>
    <tabular pivotCacheId="173460058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825D383-334D-49C3-9656-D7896483D3C8}" sourceName="Date">
  <pivotTables>
    <pivotTable tabId="9" name="PivotTable11"/>
    <pivotTable tabId="9" name="PivotTable10"/>
    <pivotTable tabId="9" name="PivotTable12"/>
    <pivotTable tabId="9" name="PivotTable9"/>
  </pivotTables>
  <data>
    <tabular pivotCacheId="1734600584">
      <items count="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8362325A-2EC6-421A-96E5-C99BE5F8E471}" sourceName="Channel">
  <pivotTables>
    <pivotTable tabId="9" name="PivotTable12"/>
    <pivotTable tabId="9" name="PivotTable10"/>
    <pivotTable tabId="9" name="PivotTable11"/>
    <pivotTable tabId="9" name="PivotTable9"/>
  </pivotTables>
  <data>
    <tabular pivotCacheId="173460058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00CDEC1-668F-4B2B-92B6-490370986B61}" cache="Slicer_Region" caption="Region" style="SlicerStyleDark1" rowHeight="360000"/>
  <slicer name="Category" xr10:uid="{83A29872-CE3C-4246-AD24-29AF44EF4ED3}" cache="Slicer_Category" caption="Category" style="SlicerStyleDark1" rowHeight="432000"/>
  <slicer name="Date" xr10:uid="{86BB4FDB-B2E3-4234-A3F7-87CA2137DFA1}" cache="Slicer_Date" caption="Date" startItem="36" style="SlicerStyleDark1" rowHeight="324000"/>
  <slicer name="Channel" xr10:uid="{A6657197-7A73-4412-9797-6C2330EBC292}" cache="Slicer_Channel" caption="Channel" style="SlicerStyleDark1"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A8C6C76-1286-44C4-B88C-B4831ABA3C23}" sourceName="Date">
  <pivotTables>
    <pivotTable tabId="9" name="PivotTable10"/>
    <pivotTable tabId="9" name="PivotTable9"/>
    <pivotTable tabId="9" name="PivotTable12"/>
    <pivotTable tabId="9" name="PivotTable11"/>
  </pivotTables>
  <state minimalRefreshVersion="6" lastRefreshVersion="6" pivotCacheId="1734600584"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5AB9C91-5292-4389-B6F4-B91BA7F65A83}" cache="NativeTimeline_Date" caption="Date" level="2" selectionLevel="2" scrollPosition="2024-01-01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57C01-2904-4286-B133-6D1BBFED6E15}">
  <dimension ref="A3:B31"/>
  <sheetViews>
    <sheetView zoomScale="110" workbookViewId="0">
      <selection activeCell="B8" sqref="B8"/>
    </sheetView>
  </sheetViews>
  <sheetFormatPr defaultRowHeight="15" x14ac:dyDescent="0.25"/>
  <cols>
    <col min="1" max="1" width="13.140625" bestFit="1" customWidth="1"/>
    <col min="2" max="2" width="18.7109375" bestFit="1" customWidth="1"/>
  </cols>
  <sheetData>
    <row r="3" spans="1:2" x14ac:dyDescent="0.25">
      <c r="A3" s="10" t="s">
        <v>161</v>
      </c>
      <c r="B3" t="s">
        <v>163</v>
      </c>
    </row>
    <row r="4" spans="1:2" x14ac:dyDescent="0.25">
      <c r="A4" s="11" t="s">
        <v>34</v>
      </c>
      <c r="B4" s="12">
        <v>123950</v>
      </c>
    </row>
    <row r="5" spans="1:2" x14ac:dyDescent="0.25">
      <c r="A5" s="11" t="s">
        <v>15</v>
      </c>
      <c r="B5" s="12">
        <v>307040</v>
      </c>
    </row>
    <row r="6" spans="1:2" x14ac:dyDescent="0.25">
      <c r="A6" s="11" t="s">
        <v>21</v>
      </c>
      <c r="B6" s="12">
        <v>83340</v>
      </c>
    </row>
    <row r="7" spans="1:2" x14ac:dyDescent="0.25">
      <c r="A7" s="11" t="s">
        <v>27</v>
      </c>
      <c r="B7" s="12">
        <v>95370</v>
      </c>
    </row>
    <row r="8" spans="1:2" x14ac:dyDescent="0.25">
      <c r="A8" s="11" t="s">
        <v>162</v>
      </c>
      <c r="B8" s="12">
        <v>609700</v>
      </c>
    </row>
    <row r="11" spans="1:2" x14ac:dyDescent="0.25">
      <c r="A11" s="10" t="s">
        <v>161</v>
      </c>
      <c r="B11" t="s">
        <v>172</v>
      </c>
    </row>
    <row r="12" spans="1:2" x14ac:dyDescent="0.25">
      <c r="A12" s="11" t="s">
        <v>14</v>
      </c>
      <c r="B12" s="24">
        <v>31</v>
      </c>
    </row>
    <row r="13" spans="1:2" x14ac:dyDescent="0.25">
      <c r="A13" s="11" t="s">
        <v>26</v>
      </c>
      <c r="B13" s="24">
        <v>9</v>
      </c>
    </row>
    <row r="14" spans="1:2" x14ac:dyDescent="0.25">
      <c r="A14" s="11" t="s">
        <v>33</v>
      </c>
      <c r="B14" s="24">
        <v>10</v>
      </c>
    </row>
    <row r="15" spans="1:2" x14ac:dyDescent="0.25">
      <c r="A15" s="11" t="s">
        <v>162</v>
      </c>
      <c r="B15" s="24">
        <v>50</v>
      </c>
    </row>
    <row r="18" spans="1:2" x14ac:dyDescent="0.25">
      <c r="A18" s="10" t="s">
        <v>161</v>
      </c>
      <c r="B18" t="s">
        <v>163</v>
      </c>
    </row>
    <row r="19" spans="1:2" x14ac:dyDescent="0.25">
      <c r="A19" s="11" t="s">
        <v>164</v>
      </c>
      <c r="B19" s="12">
        <v>155980</v>
      </c>
    </row>
    <row r="20" spans="1:2" x14ac:dyDescent="0.25">
      <c r="A20" s="11" t="s">
        <v>165</v>
      </c>
      <c r="B20" s="12">
        <v>70410</v>
      </c>
    </row>
    <row r="21" spans="1:2" x14ac:dyDescent="0.25">
      <c r="A21" s="11" t="s">
        <v>166</v>
      </c>
      <c r="B21" s="12">
        <v>174545</v>
      </c>
    </row>
    <row r="22" spans="1:2" x14ac:dyDescent="0.25">
      <c r="A22" s="11" t="s">
        <v>167</v>
      </c>
      <c r="B22" s="12">
        <v>64245</v>
      </c>
    </row>
    <row r="23" spans="1:2" x14ac:dyDescent="0.25">
      <c r="A23" s="11" t="s">
        <v>168</v>
      </c>
      <c r="B23" s="12">
        <v>144520</v>
      </c>
    </row>
    <row r="24" spans="1:2" x14ac:dyDescent="0.25">
      <c r="A24" s="11" t="s">
        <v>162</v>
      </c>
      <c r="B24" s="12">
        <v>609700</v>
      </c>
    </row>
    <row r="27" spans="1:2" x14ac:dyDescent="0.25">
      <c r="A27" s="10" t="s">
        <v>161</v>
      </c>
      <c r="B27" t="s">
        <v>163</v>
      </c>
    </row>
    <row r="28" spans="1:2" x14ac:dyDescent="0.25">
      <c r="A28" s="11" t="s">
        <v>22</v>
      </c>
      <c r="B28" s="12">
        <v>126635</v>
      </c>
    </row>
    <row r="29" spans="1:2" x14ac:dyDescent="0.25">
      <c r="A29" s="11" t="s">
        <v>28</v>
      </c>
      <c r="B29" s="12">
        <v>216000</v>
      </c>
    </row>
    <row r="30" spans="1:2" x14ac:dyDescent="0.25">
      <c r="A30" s="11" t="s">
        <v>16</v>
      </c>
      <c r="B30" s="12">
        <v>267065</v>
      </c>
    </row>
    <row r="31" spans="1:2" x14ac:dyDescent="0.25">
      <c r="A31" s="11" t="s">
        <v>162</v>
      </c>
      <c r="B31" s="12">
        <v>609700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DE772-E6C0-454A-95C6-855CB8CF1711}">
  <dimension ref="A1:Q6"/>
  <sheetViews>
    <sheetView tabSelected="1" zoomScale="94" workbookViewId="0">
      <selection activeCell="I34" sqref="I34"/>
    </sheetView>
  </sheetViews>
  <sheetFormatPr defaultRowHeight="15" x14ac:dyDescent="0.25"/>
  <cols>
    <col min="1" max="8" width="9.140625" style="19"/>
    <col min="9" max="9" width="6.5703125" style="19" customWidth="1"/>
    <col min="10" max="10" width="16.85546875" style="19" customWidth="1"/>
    <col min="11" max="12" width="9.140625" style="19"/>
    <col min="13" max="13" width="8" style="19" customWidth="1"/>
    <col min="14" max="14" width="14.140625" style="19" customWidth="1"/>
    <col min="15" max="16" width="9.140625" style="19"/>
    <col min="17" max="17" width="24.7109375" style="19" customWidth="1"/>
    <col min="18" max="16384" width="9.140625" style="19"/>
  </cols>
  <sheetData>
    <row r="1" spans="1:17" ht="31.5" x14ac:dyDescent="0.5">
      <c r="A1" s="20" t="s">
        <v>173</v>
      </c>
    </row>
    <row r="3" spans="1:17" ht="15.75" x14ac:dyDescent="0.25">
      <c r="J3" s="21" t="s">
        <v>169</v>
      </c>
      <c r="N3" s="22" t="s">
        <v>170</v>
      </c>
      <c r="Q3" s="21" t="s">
        <v>171</v>
      </c>
    </row>
    <row r="4" spans="1:17" ht="15.75" x14ac:dyDescent="0.25">
      <c r="J4" s="21">
        <f>GETPIVOTDATA("Revenue (₹)",Sheet3!$A$3)</f>
        <v>609700</v>
      </c>
      <c r="N4" s="22">
        <f>GETPIVOTDATA("Order ID",Sheet3!$A$11)</f>
        <v>50</v>
      </c>
      <c r="Q4" s="21">
        <f>IFERROR(J4/N4,0)</f>
        <v>12194</v>
      </c>
    </row>
    <row r="6" spans="1:17" x14ac:dyDescent="0.25">
      <c r="M6" s="2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2"/>
  <sheetViews>
    <sheetView showGridLines="0" workbookViewId="0">
      <selection activeCell="C11" sqref="C11"/>
    </sheetView>
  </sheetViews>
  <sheetFormatPr defaultRowHeight="15" x14ac:dyDescent="0.25"/>
  <cols>
    <col min="1" max="1" width="12.5703125" customWidth="1"/>
    <col min="2" max="2" width="13.28515625" style="9" customWidth="1"/>
    <col min="3" max="3" width="23.5703125" customWidth="1"/>
    <col min="4" max="4" width="16.7109375" customWidth="1"/>
    <col min="5" max="5" width="19.28515625" customWidth="1"/>
    <col min="6" max="6" width="16" customWidth="1"/>
    <col min="7" max="7" width="13.5703125" customWidth="1"/>
    <col min="8" max="8" width="11.85546875" customWidth="1"/>
    <col min="9" max="9" width="17" customWidth="1"/>
    <col min="10" max="10" width="17.5703125" customWidth="1"/>
  </cols>
  <sheetData>
    <row r="1" spans="1:10" ht="24" customHeight="1" x14ac:dyDescent="0.25">
      <c r="A1" s="1" t="s">
        <v>0</v>
      </c>
      <c r="B1" s="8" t="s">
        <v>1</v>
      </c>
      <c r="C1" s="1" t="s">
        <v>2</v>
      </c>
      <c r="D1" s="1" t="s">
        <v>3</v>
      </c>
      <c r="E1" s="1" t="s">
        <v>4</v>
      </c>
      <c r="F1" s="1" t="s">
        <v>5</v>
      </c>
      <c r="G1" s="1" t="s">
        <v>6</v>
      </c>
      <c r="H1" s="1" t="s">
        <v>7</v>
      </c>
      <c r="I1" s="1" t="s">
        <v>8</v>
      </c>
      <c r="J1" s="1" t="s">
        <v>9</v>
      </c>
    </row>
    <row r="2" spans="1:10" x14ac:dyDescent="0.25">
      <c r="A2" s="3" t="s">
        <v>10</v>
      </c>
      <c r="B2" s="6">
        <v>45296</v>
      </c>
      <c r="C2" s="3" t="s">
        <v>11</v>
      </c>
      <c r="D2" s="3" t="s">
        <v>12</v>
      </c>
      <c r="E2" s="3" t="s">
        <v>13</v>
      </c>
      <c r="F2" s="3" t="s">
        <v>14</v>
      </c>
      <c r="G2" s="3" t="s">
        <v>15</v>
      </c>
      <c r="H2" s="3" t="s">
        <v>16</v>
      </c>
      <c r="I2" s="4">
        <v>85000</v>
      </c>
      <c r="J2" s="4">
        <v>52000</v>
      </c>
    </row>
    <row r="3" spans="1:10" x14ac:dyDescent="0.25">
      <c r="A3" s="2" t="s">
        <v>17</v>
      </c>
      <c r="B3" s="7">
        <v>45299</v>
      </c>
      <c r="C3" s="2" t="s">
        <v>18</v>
      </c>
      <c r="D3" s="2" t="s">
        <v>19</v>
      </c>
      <c r="E3" s="2" t="s">
        <v>20</v>
      </c>
      <c r="F3" s="2" t="s">
        <v>14</v>
      </c>
      <c r="G3" s="2" t="s">
        <v>21</v>
      </c>
      <c r="H3" s="2" t="s">
        <v>22</v>
      </c>
      <c r="I3" s="5">
        <v>1200</v>
      </c>
      <c r="J3" s="5">
        <v>600</v>
      </c>
    </row>
    <row r="4" spans="1:10" x14ac:dyDescent="0.25">
      <c r="A4" s="3" t="s">
        <v>23</v>
      </c>
      <c r="B4" s="6">
        <v>45301</v>
      </c>
      <c r="C4" s="3" t="s">
        <v>24</v>
      </c>
      <c r="D4" s="3" t="s">
        <v>12</v>
      </c>
      <c r="E4" s="3" t="s">
        <v>25</v>
      </c>
      <c r="F4" s="3" t="s">
        <v>26</v>
      </c>
      <c r="G4" s="3" t="s">
        <v>27</v>
      </c>
      <c r="H4" s="3" t="s">
        <v>28</v>
      </c>
      <c r="I4" s="4">
        <v>12000</v>
      </c>
      <c r="J4" s="4">
        <v>7000</v>
      </c>
    </row>
    <row r="5" spans="1:10" x14ac:dyDescent="0.25">
      <c r="A5" s="2" t="s">
        <v>29</v>
      </c>
      <c r="B5" s="7">
        <v>45303</v>
      </c>
      <c r="C5" s="2" t="s">
        <v>30</v>
      </c>
      <c r="D5" s="2" t="s">
        <v>31</v>
      </c>
      <c r="E5" s="2" t="s">
        <v>32</v>
      </c>
      <c r="F5" s="2" t="s">
        <v>33</v>
      </c>
      <c r="G5" s="2" t="s">
        <v>34</v>
      </c>
      <c r="H5" s="2" t="s">
        <v>16</v>
      </c>
      <c r="I5" s="5">
        <v>900</v>
      </c>
      <c r="J5" s="5">
        <v>400</v>
      </c>
    </row>
    <row r="6" spans="1:10" x14ac:dyDescent="0.25">
      <c r="A6" s="3" t="s">
        <v>35</v>
      </c>
      <c r="B6" s="6">
        <v>45306</v>
      </c>
      <c r="C6" s="3" t="s">
        <v>36</v>
      </c>
      <c r="D6" s="3" t="s">
        <v>19</v>
      </c>
      <c r="E6" s="3" t="s">
        <v>37</v>
      </c>
      <c r="F6" s="3" t="s">
        <v>14</v>
      </c>
      <c r="G6" s="3" t="s">
        <v>15</v>
      </c>
      <c r="H6" s="3" t="s">
        <v>22</v>
      </c>
      <c r="I6" s="4">
        <v>2500</v>
      </c>
      <c r="J6" s="4">
        <v>1200</v>
      </c>
    </row>
    <row r="7" spans="1:10" x14ac:dyDescent="0.25">
      <c r="A7" s="2" t="s">
        <v>38</v>
      </c>
      <c r="B7" s="7">
        <v>45309</v>
      </c>
      <c r="C7" s="2" t="s">
        <v>39</v>
      </c>
      <c r="D7" s="2" t="s">
        <v>12</v>
      </c>
      <c r="E7" s="2" t="s">
        <v>40</v>
      </c>
      <c r="F7" s="2" t="s">
        <v>26</v>
      </c>
      <c r="G7" s="2" t="s">
        <v>21</v>
      </c>
      <c r="H7" s="2" t="s">
        <v>28</v>
      </c>
      <c r="I7" s="5">
        <v>28000</v>
      </c>
      <c r="J7" s="5">
        <v>16000</v>
      </c>
    </row>
    <row r="8" spans="1:10" x14ac:dyDescent="0.25">
      <c r="A8" s="3" t="s">
        <v>41</v>
      </c>
      <c r="B8" s="6">
        <v>45311</v>
      </c>
      <c r="C8" s="3" t="s">
        <v>42</v>
      </c>
      <c r="D8" s="3" t="s">
        <v>19</v>
      </c>
      <c r="E8" s="3" t="s">
        <v>43</v>
      </c>
      <c r="F8" s="3" t="s">
        <v>14</v>
      </c>
      <c r="G8" s="3" t="s">
        <v>27</v>
      </c>
      <c r="H8" s="3" t="s">
        <v>16</v>
      </c>
      <c r="I8" s="4">
        <v>18500</v>
      </c>
      <c r="J8" s="4">
        <v>11000</v>
      </c>
    </row>
    <row r="9" spans="1:10" x14ac:dyDescent="0.25">
      <c r="A9" s="2" t="s">
        <v>44</v>
      </c>
      <c r="B9" s="7">
        <v>45313</v>
      </c>
      <c r="C9" s="2" t="s">
        <v>45</v>
      </c>
      <c r="D9" s="2" t="s">
        <v>31</v>
      </c>
      <c r="E9" s="2" t="s">
        <v>46</v>
      </c>
      <c r="F9" s="2" t="s">
        <v>33</v>
      </c>
      <c r="G9" s="2" t="s">
        <v>34</v>
      </c>
      <c r="H9" s="2" t="s">
        <v>22</v>
      </c>
      <c r="I9" s="5">
        <v>180</v>
      </c>
      <c r="J9" s="5">
        <v>80</v>
      </c>
    </row>
    <row r="10" spans="1:10" x14ac:dyDescent="0.25">
      <c r="A10" s="3" t="s">
        <v>47</v>
      </c>
      <c r="B10" s="6">
        <v>45316</v>
      </c>
      <c r="C10" s="3" t="s">
        <v>48</v>
      </c>
      <c r="D10" s="3" t="s">
        <v>12</v>
      </c>
      <c r="E10" s="3" t="s">
        <v>49</v>
      </c>
      <c r="F10" s="3" t="s">
        <v>14</v>
      </c>
      <c r="G10" s="3" t="s">
        <v>15</v>
      </c>
      <c r="H10" s="3" t="s">
        <v>16</v>
      </c>
      <c r="I10" s="4">
        <v>4500</v>
      </c>
      <c r="J10" s="4">
        <v>2500</v>
      </c>
    </row>
    <row r="11" spans="1:10" x14ac:dyDescent="0.25">
      <c r="A11" s="2" t="s">
        <v>50</v>
      </c>
      <c r="B11" s="7">
        <v>45319</v>
      </c>
      <c r="C11" s="2" t="s">
        <v>51</v>
      </c>
      <c r="D11" s="2" t="s">
        <v>19</v>
      </c>
      <c r="E11" s="2" t="s">
        <v>52</v>
      </c>
      <c r="F11" s="2" t="s">
        <v>14</v>
      </c>
      <c r="G11" s="2" t="s">
        <v>21</v>
      </c>
      <c r="H11" s="2" t="s">
        <v>28</v>
      </c>
      <c r="I11" s="5">
        <v>3200</v>
      </c>
      <c r="J11" s="5">
        <v>1800</v>
      </c>
    </row>
    <row r="12" spans="1:10" x14ac:dyDescent="0.25">
      <c r="A12" s="3" t="s">
        <v>53</v>
      </c>
      <c r="B12" s="6">
        <v>45324</v>
      </c>
      <c r="C12" s="3" t="s">
        <v>54</v>
      </c>
      <c r="D12" s="3" t="s">
        <v>12</v>
      </c>
      <c r="E12" s="3" t="s">
        <v>55</v>
      </c>
      <c r="F12" s="3" t="s">
        <v>14</v>
      </c>
      <c r="G12" s="3" t="s">
        <v>27</v>
      </c>
      <c r="H12" s="3" t="s">
        <v>16</v>
      </c>
      <c r="I12" s="4">
        <v>22000</v>
      </c>
      <c r="J12" s="4">
        <v>13000</v>
      </c>
    </row>
    <row r="13" spans="1:10" x14ac:dyDescent="0.25">
      <c r="A13" s="2" t="s">
        <v>56</v>
      </c>
      <c r="B13" s="7">
        <v>45327</v>
      </c>
      <c r="C13" s="2" t="s">
        <v>57</v>
      </c>
      <c r="D13" s="2" t="s">
        <v>19</v>
      </c>
      <c r="E13" s="2" t="s">
        <v>58</v>
      </c>
      <c r="F13" s="2" t="s">
        <v>14</v>
      </c>
      <c r="G13" s="2" t="s">
        <v>34</v>
      </c>
      <c r="H13" s="2" t="s">
        <v>22</v>
      </c>
      <c r="I13" s="5">
        <v>7500</v>
      </c>
      <c r="J13" s="5">
        <v>4200</v>
      </c>
    </row>
    <row r="14" spans="1:10" x14ac:dyDescent="0.25">
      <c r="A14" s="3" t="s">
        <v>59</v>
      </c>
      <c r="B14" s="6">
        <v>45330</v>
      </c>
      <c r="C14" s="3" t="s">
        <v>60</v>
      </c>
      <c r="D14" s="3" t="s">
        <v>31</v>
      </c>
      <c r="E14" s="3" t="s">
        <v>61</v>
      </c>
      <c r="F14" s="3" t="s">
        <v>14</v>
      </c>
      <c r="G14" s="3" t="s">
        <v>15</v>
      </c>
      <c r="H14" s="3" t="s">
        <v>16</v>
      </c>
      <c r="I14" s="4">
        <v>1800</v>
      </c>
      <c r="J14" s="4">
        <v>900</v>
      </c>
    </row>
    <row r="15" spans="1:10" x14ac:dyDescent="0.25">
      <c r="A15" s="2" t="s">
        <v>62</v>
      </c>
      <c r="B15" s="7">
        <v>45332</v>
      </c>
      <c r="C15" s="2" t="s">
        <v>63</v>
      </c>
      <c r="D15" s="2" t="s">
        <v>19</v>
      </c>
      <c r="E15" s="2" t="s">
        <v>64</v>
      </c>
      <c r="F15" s="2" t="s">
        <v>26</v>
      </c>
      <c r="G15" s="2" t="s">
        <v>21</v>
      </c>
      <c r="H15" s="2" t="s">
        <v>28</v>
      </c>
      <c r="I15" s="5">
        <v>8500</v>
      </c>
      <c r="J15" s="5">
        <v>5000</v>
      </c>
    </row>
    <row r="16" spans="1:10" x14ac:dyDescent="0.25">
      <c r="A16" s="3" t="s">
        <v>65</v>
      </c>
      <c r="B16" s="6">
        <v>45334</v>
      </c>
      <c r="C16" s="3" t="s">
        <v>66</v>
      </c>
      <c r="D16" s="3" t="s">
        <v>12</v>
      </c>
      <c r="E16" s="3" t="s">
        <v>67</v>
      </c>
      <c r="F16" s="3" t="s">
        <v>14</v>
      </c>
      <c r="G16" s="3" t="s">
        <v>27</v>
      </c>
      <c r="H16" s="3" t="s">
        <v>16</v>
      </c>
      <c r="I16" s="4">
        <v>14500</v>
      </c>
      <c r="J16" s="4">
        <v>8500</v>
      </c>
    </row>
    <row r="17" spans="1:10" x14ac:dyDescent="0.25">
      <c r="A17" s="2" t="s">
        <v>68</v>
      </c>
      <c r="B17" s="7">
        <v>45337</v>
      </c>
      <c r="C17" s="2" t="s">
        <v>69</v>
      </c>
      <c r="D17" s="2" t="s">
        <v>19</v>
      </c>
      <c r="E17" s="2" t="s">
        <v>70</v>
      </c>
      <c r="F17" s="2" t="s">
        <v>14</v>
      </c>
      <c r="G17" s="2" t="s">
        <v>34</v>
      </c>
      <c r="H17" s="2" t="s">
        <v>22</v>
      </c>
      <c r="I17" s="5">
        <v>2800</v>
      </c>
      <c r="J17" s="5">
        <v>1400</v>
      </c>
    </row>
    <row r="18" spans="1:10" x14ac:dyDescent="0.25">
      <c r="A18" s="3" t="s">
        <v>71</v>
      </c>
      <c r="B18" s="6">
        <v>45340</v>
      </c>
      <c r="C18" s="3" t="s">
        <v>72</v>
      </c>
      <c r="D18" s="3" t="s">
        <v>31</v>
      </c>
      <c r="E18" s="3" t="s">
        <v>73</v>
      </c>
      <c r="F18" s="3" t="s">
        <v>33</v>
      </c>
      <c r="G18" s="3" t="s">
        <v>15</v>
      </c>
      <c r="H18" s="3" t="s">
        <v>16</v>
      </c>
      <c r="I18" s="4">
        <v>120</v>
      </c>
      <c r="J18" s="4">
        <v>50</v>
      </c>
    </row>
    <row r="19" spans="1:10" x14ac:dyDescent="0.25">
      <c r="A19" s="2" t="s">
        <v>74</v>
      </c>
      <c r="B19" s="7">
        <v>45342</v>
      </c>
      <c r="C19" s="2" t="s">
        <v>75</v>
      </c>
      <c r="D19" s="2" t="s">
        <v>12</v>
      </c>
      <c r="E19" s="2" t="s">
        <v>76</v>
      </c>
      <c r="F19" s="2" t="s">
        <v>14</v>
      </c>
      <c r="G19" s="2" t="s">
        <v>21</v>
      </c>
      <c r="H19" s="2" t="s">
        <v>28</v>
      </c>
      <c r="I19" s="5">
        <v>5500</v>
      </c>
      <c r="J19" s="5">
        <v>3200</v>
      </c>
    </row>
    <row r="20" spans="1:10" x14ac:dyDescent="0.25">
      <c r="A20" s="3" t="s">
        <v>77</v>
      </c>
      <c r="B20" s="6">
        <v>45344</v>
      </c>
      <c r="C20" s="3" t="s">
        <v>78</v>
      </c>
      <c r="D20" s="3" t="s">
        <v>19</v>
      </c>
      <c r="E20" s="3" t="s">
        <v>79</v>
      </c>
      <c r="F20" s="3" t="s">
        <v>26</v>
      </c>
      <c r="G20" s="3" t="s">
        <v>27</v>
      </c>
      <c r="H20" s="3" t="s">
        <v>22</v>
      </c>
      <c r="I20" s="4">
        <v>6800</v>
      </c>
      <c r="J20" s="4">
        <v>3800</v>
      </c>
    </row>
    <row r="21" spans="1:10" x14ac:dyDescent="0.25">
      <c r="A21" s="2" t="s">
        <v>80</v>
      </c>
      <c r="B21" s="7">
        <v>45347</v>
      </c>
      <c r="C21" s="2" t="s">
        <v>81</v>
      </c>
      <c r="D21" s="2" t="s">
        <v>19</v>
      </c>
      <c r="E21" s="2" t="s">
        <v>82</v>
      </c>
      <c r="F21" s="2" t="s">
        <v>14</v>
      </c>
      <c r="G21" s="2" t="s">
        <v>34</v>
      </c>
      <c r="H21" s="2" t="s">
        <v>16</v>
      </c>
      <c r="I21" s="5">
        <v>890</v>
      </c>
      <c r="J21" s="5">
        <v>450</v>
      </c>
    </row>
    <row r="22" spans="1:10" x14ac:dyDescent="0.25">
      <c r="A22" s="3" t="s">
        <v>83</v>
      </c>
      <c r="B22" s="6">
        <v>45352</v>
      </c>
      <c r="C22" s="3" t="s">
        <v>11</v>
      </c>
      <c r="D22" s="3" t="s">
        <v>12</v>
      </c>
      <c r="E22" s="3" t="s">
        <v>84</v>
      </c>
      <c r="F22" s="3" t="s">
        <v>14</v>
      </c>
      <c r="G22" s="3" t="s">
        <v>15</v>
      </c>
      <c r="H22" s="3" t="s">
        <v>16</v>
      </c>
      <c r="I22" s="4">
        <v>18500</v>
      </c>
      <c r="J22" s="4">
        <v>11000</v>
      </c>
    </row>
    <row r="23" spans="1:10" x14ac:dyDescent="0.25">
      <c r="A23" s="2" t="s">
        <v>85</v>
      </c>
      <c r="B23" s="7">
        <v>45354</v>
      </c>
      <c r="C23" s="2" t="s">
        <v>86</v>
      </c>
      <c r="D23" s="2" t="s">
        <v>31</v>
      </c>
      <c r="E23" s="2" t="s">
        <v>87</v>
      </c>
      <c r="F23" s="2" t="s">
        <v>33</v>
      </c>
      <c r="G23" s="2" t="s">
        <v>21</v>
      </c>
      <c r="H23" s="2" t="s">
        <v>22</v>
      </c>
      <c r="I23" s="5">
        <v>380</v>
      </c>
      <c r="J23" s="5">
        <v>170</v>
      </c>
    </row>
    <row r="24" spans="1:10" x14ac:dyDescent="0.25">
      <c r="A24" s="3" t="s">
        <v>88</v>
      </c>
      <c r="B24" s="6">
        <v>45356</v>
      </c>
      <c r="C24" s="3" t="s">
        <v>89</v>
      </c>
      <c r="D24" s="3" t="s">
        <v>19</v>
      </c>
      <c r="E24" s="3" t="s">
        <v>90</v>
      </c>
      <c r="F24" s="3" t="s">
        <v>26</v>
      </c>
      <c r="G24" s="3" t="s">
        <v>27</v>
      </c>
      <c r="H24" s="3" t="s">
        <v>28</v>
      </c>
      <c r="I24" s="4">
        <v>1500</v>
      </c>
      <c r="J24" s="4">
        <v>800</v>
      </c>
    </row>
    <row r="25" spans="1:10" x14ac:dyDescent="0.25">
      <c r="A25" s="2" t="s">
        <v>91</v>
      </c>
      <c r="B25" s="7">
        <v>45359</v>
      </c>
      <c r="C25" s="2" t="s">
        <v>92</v>
      </c>
      <c r="D25" s="2" t="s">
        <v>12</v>
      </c>
      <c r="E25" s="2" t="s">
        <v>93</v>
      </c>
      <c r="F25" s="2" t="s">
        <v>14</v>
      </c>
      <c r="G25" s="2" t="s">
        <v>34</v>
      </c>
      <c r="H25" s="2" t="s">
        <v>16</v>
      </c>
      <c r="I25" s="5">
        <v>45000</v>
      </c>
      <c r="J25" s="5">
        <v>28000</v>
      </c>
    </row>
    <row r="26" spans="1:10" x14ac:dyDescent="0.25">
      <c r="A26" s="3" t="s">
        <v>94</v>
      </c>
      <c r="B26" s="6">
        <v>45361</v>
      </c>
      <c r="C26" s="3" t="s">
        <v>95</v>
      </c>
      <c r="D26" s="3" t="s">
        <v>19</v>
      </c>
      <c r="E26" s="3" t="s">
        <v>13</v>
      </c>
      <c r="F26" s="3" t="s">
        <v>14</v>
      </c>
      <c r="G26" s="3" t="s">
        <v>15</v>
      </c>
      <c r="H26" s="3" t="s">
        <v>22</v>
      </c>
      <c r="I26" s="4">
        <v>85000</v>
      </c>
      <c r="J26" s="4">
        <v>52000</v>
      </c>
    </row>
    <row r="27" spans="1:10" x14ac:dyDescent="0.25">
      <c r="A27" s="2" t="s">
        <v>96</v>
      </c>
      <c r="B27" s="7">
        <v>45363</v>
      </c>
      <c r="C27" s="2" t="s">
        <v>97</v>
      </c>
      <c r="D27" s="2" t="s">
        <v>31</v>
      </c>
      <c r="E27" s="2" t="s">
        <v>98</v>
      </c>
      <c r="F27" s="2" t="s">
        <v>33</v>
      </c>
      <c r="G27" s="2" t="s">
        <v>21</v>
      </c>
      <c r="H27" s="2" t="s">
        <v>16</v>
      </c>
      <c r="I27" s="5">
        <v>620</v>
      </c>
      <c r="J27" s="5">
        <v>300</v>
      </c>
    </row>
    <row r="28" spans="1:10" x14ac:dyDescent="0.25">
      <c r="A28" s="3" t="s">
        <v>99</v>
      </c>
      <c r="B28" s="6">
        <v>45366</v>
      </c>
      <c r="C28" s="3" t="s">
        <v>100</v>
      </c>
      <c r="D28" s="3" t="s">
        <v>19</v>
      </c>
      <c r="E28" s="3" t="s">
        <v>101</v>
      </c>
      <c r="F28" s="3" t="s">
        <v>26</v>
      </c>
      <c r="G28" s="3" t="s">
        <v>27</v>
      </c>
      <c r="H28" s="3" t="s">
        <v>28</v>
      </c>
      <c r="I28" s="4">
        <v>4500</v>
      </c>
      <c r="J28" s="4">
        <v>2600</v>
      </c>
    </row>
    <row r="29" spans="1:10" x14ac:dyDescent="0.25">
      <c r="A29" s="2" t="s">
        <v>102</v>
      </c>
      <c r="B29" s="7">
        <v>45369</v>
      </c>
      <c r="C29" s="2" t="s">
        <v>103</v>
      </c>
      <c r="D29" s="2" t="s">
        <v>12</v>
      </c>
      <c r="E29" s="2" t="s">
        <v>104</v>
      </c>
      <c r="F29" s="2" t="s">
        <v>14</v>
      </c>
      <c r="G29" s="2" t="s">
        <v>34</v>
      </c>
      <c r="H29" s="2" t="s">
        <v>16</v>
      </c>
      <c r="I29" s="5">
        <v>12500</v>
      </c>
      <c r="J29" s="5">
        <v>7500</v>
      </c>
    </row>
    <row r="30" spans="1:10" x14ac:dyDescent="0.25">
      <c r="A30" s="3" t="s">
        <v>105</v>
      </c>
      <c r="B30" s="6">
        <v>45371</v>
      </c>
      <c r="C30" s="3" t="s">
        <v>106</v>
      </c>
      <c r="D30" s="3" t="s">
        <v>19</v>
      </c>
      <c r="E30" s="3" t="s">
        <v>107</v>
      </c>
      <c r="F30" s="3" t="s">
        <v>14</v>
      </c>
      <c r="G30" s="3" t="s">
        <v>15</v>
      </c>
      <c r="H30" s="3" t="s">
        <v>22</v>
      </c>
      <c r="I30" s="4">
        <v>6500</v>
      </c>
      <c r="J30" s="4">
        <v>3800</v>
      </c>
    </row>
    <row r="31" spans="1:10" x14ac:dyDescent="0.25">
      <c r="A31" s="2" t="s">
        <v>108</v>
      </c>
      <c r="B31" s="7">
        <v>45373</v>
      </c>
      <c r="C31" s="2" t="s">
        <v>109</v>
      </c>
      <c r="D31" s="2" t="s">
        <v>31</v>
      </c>
      <c r="E31" s="2" t="s">
        <v>110</v>
      </c>
      <c r="F31" s="2" t="s">
        <v>33</v>
      </c>
      <c r="G31" s="2" t="s">
        <v>21</v>
      </c>
      <c r="H31" s="2" t="s">
        <v>16</v>
      </c>
      <c r="I31" s="5">
        <v>45</v>
      </c>
      <c r="J31" s="5">
        <v>20</v>
      </c>
    </row>
    <row r="32" spans="1:10" x14ac:dyDescent="0.25">
      <c r="A32" s="3" t="s">
        <v>111</v>
      </c>
      <c r="B32" s="6">
        <v>45384</v>
      </c>
      <c r="C32" s="3" t="s">
        <v>112</v>
      </c>
      <c r="D32" s="3" t="s">
        <v>12</v>
      </c>
      <c r="E32" s="3" t="s">
        <v>113</v>
      </c>
      <c r="F32" s="3" t="s">
        <v>14</v>
      </c>
      <c r="G32" s="3" t="s">
        <v>27</v>
      </c>
      <c r="H32" s="3" t="s">
        <v>28</v>
      </c>
      <c r="I32" s="4">
        <v>12000</v>
      </c>
      <c r="J32" s="4">
        <v>7000</v>
      </c>
    </row>
    <row r="33" spans="1:10" x14ac:dyDescent="0.25">
      <c r="A33" s="2" t="s">
        <v>114</v>
      </c>
      <c r="B33" s="7">
        <v>45387</v>
      </c>
      <c r="C33" s="2" t="s">
        <v>115</v>
      </c>
      <c r="D33" s="2" t="s">
        <v>19</v>
      </c>
      <c r="E33" s="2" t="s">
        <v>116</v>
      </c>
      <c r="F33" s="2" t="s">
        <v>14</v>
      </c>
      <c r="G33" s="2" t="s">
        <v>34</v>
      </c>
      <c r="H33" s="2" t="s">
        <v>22</v>
      </c>
      <c r="I33" s="5">
        <v>380</v>
      </c>
      <c r="J33" s="5">
        <v>180</v>
      </c>
    </row>
    <row r="34" spans="1:10" x14ac:dyDescent="0.25">
      <c r="A34" s="3" t="s">
        <v>117</v>
      </c>
      <c r="B34" s="6">
        <v>45390</v>
      </c>
      <c r="C34" s="3" t="s">
        <v>118</v>
      </c>
      <c r="D34" s="3" t="s">
        <v>31</v>
      </c>
      <c r="E34" s="3" t="s">
        <v>119</v>
      </c>
      <c r="F34" s="3" t="s">
        <v>33</v>
      </c>
      <c r="G34" s="3" t="s">
        <v>15</v>
      </c>
      <c r="H34" s="3" t="s">
        <v>16</v>
      </c>
      <c r="I34" s="4">
        <v>220</v>
      </c>
      <c r="J34" s="4">
        <v>100</v>
      </c>
    </row>
    <row r="35" spans="1:10" x14ac:dyDescent="0.25">
      <c r="A35" s="2" t="s">
        <v>120</v>
      </c>
      <c r="B35" s="7">
        <v>45392</v>
      </c>
      <c r="C35" s="2" t="s">
        <v>121</v>
      </c>
      <c r="D35" s="2" t="s">
        <v>12</v>
      </c>
      <c r="E35" s="2" t="s">
        <v>122</v>
      </c>
      <c r="F35" s="2" t="s">
        <v>14</v>
      </c>
      <c r="G35" s="2" t="s">
        <v>21</v>
      </c>
      <c r="H35" s="2" t="s">
        <v>28</v>
      </c>
      <c r="I35" s="5">
        <v>3800</v>
      </c>
      <c r="J35" s="5">
        <v>2200</v>
      </c>
    </row>
    <row r="36" spans="1:10" x14ac:dyDescent="0.25">
      <c r="A36" s="3" t="s">
        <v>123</v>
      </c>
      <c r="B36" s="6">
        <v>45394</v>
      </c>
      <c r="C36" s="3" t="s">
        <v>124</v>
      </c>
      <c r="D36" s="3" t="s">
        <v>19</v>
      </c>
      <c r="E36" s="3" t="s">
        <v>125</v>
      </c>
      <c r="F36" s="3" t="s">
        <v>14</v>
      </c>
      <c r="G36" s="3" t="s">
        <v>27</v>
      </c>
      <c r="H36" s="3" t="s">
        <v>22</v>
      </c>
      <c r="I36" s="4">
        <v>1200</v>
      </c>
      <c r="J36" s="4">
        <v>620</v>
      </c>
    </row>
    <row r="37" spans="1:10" x14ac:dyDescent="0.25">
      <c r="A37" s="2" t="s">
        <v>126</v>
      </c>
      <c r="B37" s="7">
        <v>45397</v>
      </c>
      <c r="C37" s="2" t="s">
        <v>127</v>
      </c>
      <c r="D37" s="2" t="s">
        <v>12</v>
      </c>
      <c r="E37" s="2" t="s">
        <v>128</v>
      </c>
      <c r="F37" s="2" t="s">
        <v>26</v>
      </c>
      <c r="G37" s="2" t="s">
        <v>34</v>
      </c>
      <c r="H37" s="2" t="s">
        <v>28</v>
      </c>
      <c r="I37" s="5">
        <v>35000</v>
      </c>
      <c r="J37" s="5">
        <v>20000</v>
      </c>
    </row>
    <row r="38" spans="1:10" x14ac:dyDescent="0.25">
      <c r="A38" s="3" t="s">
        <v>129</v>
      </c>
      <c r="B38" s="6">
        <v>45400</v>
      </c>
      <c r="C38" s="3" t="s">
        <v>130</v>
      </c>
      <c r="D38" s="3" t="s">
        <v>19</v>
      </c>
      <c r="E38" s="3" t="s">
        <v>131</v>
      </c>
      <c r="F38" s="3" t="s">
        <v>14</v>
      </c>
      <c r="G38" s="3" t="s">
        <v>15</v>
      </c>
      <c r="H38" s="3" t="s">
        <v>16</v>
      </c>
      <c r="I38" s="4">
        <v>2200</v>
      </c>
      <c r="J38" s="4">
        <v>1200</v>
      </c>
    </row>
    <row r="39" spans="1:10" x14ac:dyDescent="0.25">
      <c r="A39" s="2" t="s">
        <v>132</v>
      </c>
      <c r="B39" s="7">
        <v>45402</v>
      </c>
      <c r="C39" s="2" t="s">
        <v>133</v>
      </c>
      <c r="D39" s="2" t="s">
        <v>31</v>
      </c>
      <c r="E39" s="2" t="s">
        <v>134</v>
      </c>
      <c r="F39" s="2" t="s">
        <v>33</v>
      </c>
      <c r="G39" s="2" t="s">
        <v>21</v>
      </c>
      <c r="H39" s="2" t="s">
        <v>22</v>
      </c>
      <c r="I39" s="5">
        <v>95</v>
      </c>
      <c r="J39" s="5">
        <v>45</v>
      </c>
    </row>
    <row r="40" spans="1:10" x14ac:dyDescent="0.25">
      <c r="A40" s="3" t="s">
        <v>135</v>
      </c>
      <c r="B40" s="6">
        <v>45404</v>
      </c>
      <c r="C40" s="3" t="s">
        <v>136</v>
      </c>
      <c r="D40" s="3" t="s">
        <v>19</v>
      </c>
      <c r="E40" s="3" t="s">
        <v>137</v>
      </c>
      <c r="F40" s="3" t="s">
        <v>14</v>
      </c>
      <c r="G40" s="3" t="s">
        <v>27</v>
      </c>
      <c r="H40" s="3" t="s">
        <v>16</v>
      </c>
      <c r="I40" s="4">
        <v>850</v>
      </c>
      <c r="J40" s="4">
        <v>430</v>
      </c>
    </row>
    <row r="41" spans="1:10" x14ac:dyDescent="0.25">
      <c r="A41" s="2" t="s">
        <v>138</v>
      </c>
      <c r="B41" s="7">
        <v>45407</v>
      </c>
      <c r="C41" s="2" t="s">
        <v>139</v>
      </c>
      <c r="D41" s="2" t="s">
        <v>12</v>
      </c>
      <c r="E41" s="2" t="s">
        <v>140</v>
      </c>
      <c r="F41" s="2" t="s">
        <v>26</v>
      </c>
      <c r="G41" s="2" t="s">
        <v>34</v>
      </c>
      <c r="H41" s="2" t="s">
        <v>28</v>
      </c>
      <c r="I41" s="5">
        <v>8500</v>
      </c>
      <c r="J41" s="5">
        <v>5000</v>
      </c>
    </row>
    <row r="42" spans="1:10" x14ac:dyDescent="0.25">
      <c r="A42" s="3" t="s">
        <v>141</v>
      </c>
      <c r="B42" s="6">
        <v>45414</v>
      </c>
      <c r="C42" s="3" t="s">
        <v>142</v>
      </c>
      <c r="D42" s="3" t="s">
        <v>19</v>
      </c>
      <c r="E42" s="3" t="s">
        <v>20</v>
      </c>
      <c r="F42" s="3" t="s">
        <v>14</v>
      </c>
      <c r="G42" s="3" t="s">
        <v>15</v>
      </c>
      <c r="H42" s="3" t="s">
        <v>22</v>
      </c>
      <c r="I42" s="4">
        <v>1200</v>
      </c>
      <c r="J42" s="4">
        <v>600</v>
      </c>
    </row>
    <row r="43" spans="1:10" x14ac:dyDescent="0.25">
      <c r="A43" s="2" t="s">
        <v>143</v>
      </c>
      <c r="B43" s="7">
        <v>45417</v>
      </c>
      <c r="C43" s="2" t="s">
        <v>144</v>
      </c>
      <c r="D43" s="2" t="s">
        <v>12</v>
      </c>
      <c r="E43" s="2" t="s">
        <v>55</v>
      </c>
      <c r="F43" s="2" t="s">
        <v>14</v>
      </c>
      <c r="G43" s="2" t="s">
        <v>21</v>
      </c>
      <c r="H43" s="2" t="s">
        <v>16</v>
      </c>
      <c r="I43" s="5">
        <v>22000</v>
      </c>
      <c r="J43" s="5">
        <v>13000</v>
      </c>
    </row>
    <row r="44" spans="1:10" x14ac:dyDescent="0.25">
      <c r="A44" s="3" t="s">
        <v>145</v>
      </c>
      <c r="B44" s="6">
        <v>45420</v>
      </c>
      <c r="C44" s="3" t="s">
        <v>146</v>
      </c>
      <c r="D44" s="3" t="s">
        <v>31</v>
      </c>
      <c r="E44" s="3" t="s">
        <v>32</v>
      </c>
      <c r="F44" s="3" t="s">
        <v>33</v>
      </c>
      <c r="G44" s="3" t="s">
        <v>27</v>
      </c>
      <c r="H44" s="3" t="s">
        <v>22</v>
      </c>
      <c r="I44" s="4">
        <v>900</v>
      </c>
      <c r="J44" s="4">
        <v>400</v>
      </c>
    </row>
    <row r="45" spans="1:10" x14ac:dyDescent="0.25">
      <c r="A45" s="2" t="s">
        <v>147</v>
      </c>
      <c r="B45" s="7">
        <v>45422</v>
      </c>
      <c r="C45" s="2" t="s">
        <v>148</v>
      </c>
      <c r="D45" s="2" t="s">
        <v>19</v>
      </c>
      <c r="E45" s="2" t="s">
        <v>61</v>
      </c>
      <c r="F45" s="2" t="s">
        <v>14</v>
      </c>
      <c r="G45" s="2" t="s">
        <v>34</v>
      </c>
      <c r="H45" s="2" t="s">
        <v>16</v>
      </c>
      <c r="I45" s="5">
        <v>1800</v>
      </c>
      <c r="J45" s="5">
        <v>900</v>
      </c>
    </row>
    <row r="46" spans="1:10" x14ac:dyDescent="0.25">
      <c r="A46" s="3" t="s">
        <v>149</v>
      </c>
      <c r="B46" s="6">
        <v>45424</v>
      </c>
      <c r="C46" s="3" t="s">
        <v>150</v>
      </c>
      <c r="D46" s="3" t="s">
        <v>12</v>
      </c>
      <c r="E46" s="3" t="s">
        <v>13</v>
      </c>
      <c r="F46" s="3" t="s">
        <v>14</v>
      </c>
      <c r="G46" s="3" t="s">
        <v>15</v>
      </c>
      <c r="H46" s="3" t="s">
        <v>28</v>
      </c>
      <c r="I46" s="4">
        <v>85000</v>
      </c>
      <c r="J46" s="4">
        <v>52000</v>
      </c>
    </row>
    <row r="47" spans="1:10" x14ac:dyDescent="0.25">
      <c r="A47" s="2" t="s">
        <v>151</v>
      </c>
      <c r="B47" s="7">
        <v>45427</v>
      </c>
      <c r="C47" s="2" t="s">
        <v>152</v>
      </c>
      <c r="D47" s="2" t="s">
        <v>19</v>
      </c>
      <c r="E47" s="2" t="s">
        <v>58</v>
      </c>
      <c r="F47" s="2" t="s">
        <v>14</v>
      </c>
      <c r="G47" s="2" t="s">
        <v>21</v>
      </c>
      <c r="H47" s="2" t="s">
        <v>22</v>
      </c>
      <c r="I47" s="5">
        <v>7500</v>
      </c>
      <c r="J47" s="5">
        <v>4200</v>
      </c>
    </row>
    <row r="48" spans="1:10" x14ac:dyDescent="0.25">
      <c r="A48" s="3" t="s">
        <v>153</v>
      </c>
      <c r="B48" s="6">
        <v>45430</v>
      </c>
      <c r="C48" s="3" t="s">
        <v>154</v>
      </c>
      <c r="D48" s="3" t="s">
        <v>31</v>
      </c>
      <c r="E48" s="3" t="s">
        <v>98</v>
      </c>
      <c r="F48" s="3" t="s">
        <v>33</v>
      </c>
      <c r="G48" s="3" t="s">
        <v>27</v>
      </c>
      <c r="H48" s="3" t="s">
        <v>16</v>
      </c>
      <c r="I48" s="4">
        <v>620</v>
      </c>
      <c r="J48" s="4">
        <v>300</v>
      </c>
    </row>
    <row r="49" spans="1:10" x14ac:dyDescent="0.25">
      <c r="A49" s="2" t="s">
        <v>155</v>
      </c>
      <c r="B49" s="7">
        <v>45432</v>
      </c>
      <c r="C49" s="2" t="s">
        <v>156</v>
      </c>
      <c r="D49" s="2" t="s">
        <v>19</v>
      </c>
      <c r="E49" s="2" t="s">
        <v>64</v>
      </c>
      <c r="F49" s="2" t="s">
        <v>26</v>
      </c>
      <c r="G49" s="2" t="s">
        <v>34</v>
      </c>
      <c r="H49" s="2" t="s">
        <v>28</v>
      </c>
      <c r="I49" s="5">
        <v>8500</v>
      </c>
      <c r="J49" s="5">
        <v>5000</v>
      </c>
    </row>
    <row r="50" spans="1:10" x14ac:dyDescent="0.25">
      <c r="A50" s="3" t="s">
        <v>157</v>
      </c>
      <c r="B50" s="6">
        <v>45434</v>
      </c>
      <c r="C50" s="3" t="s">
        <v>158</v>
      </c>
      <c r="D50" s="3" t="s">
        <v>12</v>
      </c>
      <c r="E50" s="3" t="s">
        <v>67</v>
      </c>
      <c r="F50" s="3" t="s">
        <v>14</v>
      </c>
      <c r="G50" s="3" t="s">
        <v>15</v>
      </c>
      <c r="H50" s="3" t="s">
        <v>16</v>
      </c>
      <c r="I50" s="4">
        <v>14500</v>
      </c>
      <c r="J50" s="17">
        <v>8500</v>
      </c>
    </row>
    <row r="51" spans="1:10" x14ac:dyDescent="0.25">
      <c r="A51" s="2" t="s">
        <v>159</v>
      </c>
      <c r="B51" s="7">
        <v>45437</v>
      </c>
      <c r="C51" s="2" t="s">
        <v>160</v>
      </c>
      <c r="D51" s="2" t="s">
        <v>19</v>
      </c>
      <c r="E51" s="2" t="s">
        <v>37</v>
      </c>
      <c r="F51" s="2" t="s">
        <v>14</v>
      </c>
      <c r="G51" s="2" t="s">
        <v>21</v>
      </c>
      <c r="H51" s="2" t="s">
        <v>22</v>
      </c>
      <c r="I51" s="16">
        <v>2500</v>
      </c>
      <c r="J51" s="18">
        <v>1200</v>
      </c>
    </row>
    <row r="52" spans="1:10" x14ac:dyDescent="0.25">
      <c r="A52" s="14"/>
      <c r="B52" s="13"/>
      <c r="C52" s="13"/>
      <c r="D52" s="13"/>
      <c r="E52" s="13"/>
      <c r="F52" s="13"/>
      <c r="G52" s="13"/>
      <c r="H52" s="15"/>
    </row>
  </sheetData>
  <autoFilter ref="A1:J51" xr:uid="{00000000-0001-0000-02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Dashboard</vt:lpstr>
      <vt:lpstr>E-Commerce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kannan vasanth</cp:lastModifiedBy>
  <dcterms:created xsi:type="dcterms:W3CDTF">2026-06-21T10:29:10Z</dcterms:created>
  <dcterms:modified xsi:type="dcterms:W3CDTF">2026-10-09T12:18:34Z</dcterms:modified>
</cp:coreProperties>
</file>